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tridao/Documents/Personal/VINAITC/Week_4/K4-Track4-Day1-NeuralNetwork/submission_2A202602793/"/>
    </mc:Choice>
  </mc:AlternateContent>
  <xr:revisionPtr revIDLastSave="0" documentId="13_ncr:1_{7FFD210C-A3AE-B542-912C-7E325349424A}" xr6:coauthVersionLast="47" xr6:coauthVersionMax="47" xr10:uidLastSave="{00000000-0000-0000-0000-000000000000}"/>
  <bookViews>
    <workbookView xWindow="0" yWindow="660" windowWidth="16380" windowHeight="8200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F11" i="4" s="1"/>
  <c r="B11" i="4"/>
  <c r="C10" i="4"/>
  <c r="F10" i="4" s="1"/>
  <c r="B10" i="4"/>
  <c r="C9" i="4"/>
  <c r="G9" i="4" s="1"/>
  <c r="B9" i="4"/>
  <c r="C8" i="4"/>
  <c r="D8" i="4" s="1"/>
  <c r="B8" i="4"/>
  <c r="C7" i="4"/>
  <c r="G7" i="4" s="1"/>
  <c r="B7" i="4"/>
  <c r="C6" i="4"/>
  <c r="F6" i="4" s="1"/>
  <c r="B6" i="4"/>
  <c r="C5" i="4"/>
  <c r="E5" i="4" s="1"/>
  <c r="B5" i="4"/>
  <c r="C4" i="4"/>
  <c r="G4" i="4" s="1"/>
  <c r="B4" i="4"/>
  <c r="E3" i="4"/>
  <c r="C3" i="4"/>
  <c r="G3" i="4" s="1"/>
  <c r="B3" i="4"/>
  <c r="C2" i="4"/>
  <c r="F2" i="4" s="1"/>
  <c r="B2" i="4"/>
  <c r="D6" i="3"/>
  <c r="C6" i="3"/>
  <c r="B6" i="3"/>
  <c r="D5" i="3"/>
  <c r="C5" i="3"/>
  <c r="B5" i="3"/>
  <c r="D4" i="3"/>
  <c r="C4" i="3"/>
  <c r="B4" i="3"/>
  <c r="D3" i="3"/>
  <c r="C3" i="3"/>
  <c r="B3" i="3"/>
  <c r="D2" i="3"/>
  <c r="D9" i="3" s="1"/>
  <c r="D10" i="3" s="1"/>
  <c r="C2" i="3"/>
  <c r="B2" i="3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F5" i="4" l="1"/>
  <c r="G5" i="4"/>
  <c r="E8" i="4"/>
  <c r="D3" i="4"/>
  <c r="B9" i="3"/>
  <c r="B10" i="3" s="1"/>
  <c r="C9" i="3"/>
  <c r="C10" i="3" s="1"/>
  <c r="D9" i="4"/>
  <c r="D4" i="4"/>
  <c r="D7" i="4"/>
  <c r="E4" i="4"/>
  <c r="E7" i="4"/>
  <c r="F7" i="4"/>
  <c r="G6" i="4"/>
  <c r="F3" i="4"/>
  <c r="D5" i="4"/>
  <c r="F8" i="4"/>
  <c r="D10" i="4"/>
  <c r="G8" i="4"/>
  <c r="D13" i="4" s="1"/>
  <c r="E10" i="4"/>
  <c r="B8" i="3"/>
  <c r="C8" i="3"/>
  <c r="D2" i="4"/>
  <c r="D8" i="3"/>
  <c r="E2" i="4"/>
  <c r="E9" i="4"/>
  <c r="D11" i="4"/>
  <c r="F4" i="4"/>
  <c r="D6" i="4"/>
  <c r="F9" i="4"/>
  <c r="E11" i="4"/>
  <c r="E6" i="4"/>
  <c r="AF59" i="2" l="1"/>
  <c r="AG59" i="2" s="1"/>
  <c r="AF54" i="2"/>
  <c r="AG54" i="2" s="1"/>
  <c r="AF49" i="2"/>
  <c r="AG49" i="2" s="1"/>
  <c r="AF44" i="2"/>
  <c r="AG44" i="2" s="1"/>
  <c r="AF39" i="2"/>
  <c r="AG39" i="2" s="1"/>
  <c r="AF34" i="2"/>
  <c r="AG34" i="2" s="1"/>
  <c r="AF29" i="2"/>
  <c r="AG29" i="2" s="1"/>
  <c r="AF24" i="2"/>
  <c r="AG24" i="2" s="1"/>
  <c r="AF19" i="2"/>
  <c r="AG19" i="2" s="1"/>
  <c r="AF14" i="2"/>
  <c r="AG14" i="2" s="1"/>
  <c r="AF9" i="2"/>
  <c r="AG9" i="2" s="1"/>
  <c r="AF4" i="2"/>
  <c r="AG4" i="2" s="1"/>
  <c r="AF22" i="2"/>
  <c r="AG22" i="2" s="1"/>
  <c r="AF61" i="2"/>
  <c r="AG61" i="2" s="1"/>
  <c r="AF56" i="2"/>
  <c r="AG56" i="2" s="1"/>
  <c r="AF51" i="2"/>
  <c r="AG51" i="2" s="1"/>
  <c r="AF46" i="2"/>
  <c r="AG46" i="2" s="1"/>
  <c r="AF41" i="2"/>
  <c r="AG41" i="2" s="1"/>
  <c r="AF36" i="2"/>
  <c r="AG36" i="2" s="1"/>
  <c r="AF31" i="2"/>
  <c r="AG31" i="2" s="1"/>
  <c r="AF26" i="2"/>
  <c r="AG26" i="2" s="1"/>
  <c r="AF21" i="2"/>
  <c r="AG21" i="2" s="1"/>
  <c r="AF16" i="2"/>
  <c r="AG16" i="2" s="1"/>
  <c r="AF11" i="2"/>
  <c r="AG11" i="2" s="1"/>
  <c r="AF6" i="2"/>
  <c r="AG6" i="2" s="1"/>
  <c r="AF27" i="2"/>
  <c r="AG27" i="2" s="1"/>
  <c r="AF7" i="2"/>
  <c r="AG7" i="2" s="1"/>
  <c r="AF58" i="2"/>
  <c r="AG58" i="2" s="1"/>
  <c r="AF53" i="2"/>
  <c r="AG53" i="2" s="1"/>
  <c r="AF48" i="2"/>
  <c r="AG48" i="2" s="1"/>
  <c r="AF43" i="2"/>
  <c r="AG43" i="2" s="1"/>
  <c r="AF38" i="2"/>
  <c r="AG38" i="2" s="1"/>
  <c r="AF33" i="2"/>
  <c r="AG33" i="2" s="1"/>
  <c r="AF28" i="2"/>
  <c r="AG28" i="2" s="1"/>
  <c r="AF23" i="2"/>
  <c r="AG23" i="2" s="1"/>
  <c r="AF18" i="2"/>
  <c r="AG18" i="2" s="1"/>
  <c r="AF13" i="2"/>
  <c r="AG13" i="2" s="1"/>
  <c r="AF8" i="2"/>
  <c r="AG8" i="2" s="1"/>
  <c r="AF3" i="2"/>
  <c r="AG3" i="2" s="1"/>
  <c r="AF60" i="2"/>
  <c r="AG60" i="2" s="1"/>
  <c r="AF55" i="2"/>
  <c r="AG55" i="2" s="1"/>
  <c r="AF50" i="2"/>
  <c r="AG50" i="2" s="1"/>
  <c r="AF45" i="2"/>
  <c r="AG45" i="2" s="1"/>
  <c r="AF40" i="2"/>
  <c r="AG40" i="2" s="1"/>
  <c r="AF35" i="2"/>
  <c r="AG35" i="2" s="1"/>
  <c r="AF30" i="2"/>
  <c r="AG30" i="2" s="1"/>
  <c r="AF25" i="2"/>
  <c r="AG25" i="2" s="1"/>
  <c r="AF20" i="2"/>
  <c r="AG20" i="2" s="1"/>
  <c r="AF15" i="2"/>
  <c r="AG15" i="2" s="1"/>
  <c r="AF10" i="2"/>
  <c r="AG10" i="2" s="1"/>
  <c r="AF5" i="2"/>
  <c r="AG5" i="2" s="1"/>
  <c r="AF57" i="2"/>
  <c r="AG57" i="2" s="1"/>
  <c r="AF52" i="2"/>
  <c r="AG52" i="2" s="1"/>
  <c r="AF47" i="2"/>
  <c r="AG47" i="2" s="1"/>
  <c r="AF42" i="2"/>
  <c r="AG42" i="2" s="1"/>
  <c r="AF37" i="2"/>
  <c r="AG37" i="2" s="1"/>
  <c r="AF32" i="2"/>
  <c r="AG32" i="2" s="1"/>
  <c r="AF17" i="2"/>
  <c r="AG17" i="2" s="1"/>
  <c r="AF12" i="2"/>
  <c r="AG12" i="2" s="1"/>
  <c r="AF2" i="2"/>
  <c r="AG2" i="2" s="1"/>
</calcChain>
</file>

<file path=xl/sharedStrings.xml><?xml version="1.0" encoding="utf-8"?>
<sst xmlns="http://schemas.openxmlformats.org/spreadsheetml/2006/main" count="725" uniqueCount="284">
  <si>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</si>
  <si>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</si>
  <si>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</si>
  <si>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 xml:space="preserve">   </t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</si>
  <si>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</si>
  <si>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</si>
  <si>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</si>
  <si>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</si>
  <si>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</si>
  <si>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</si>
  <si>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</si>
  <si>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</si>
  <si>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</si>
  <si>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</si>
  <si>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</si>
  <si>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</si>
  <si>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</si>
  <si>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</si>
  <si>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</si>
  <si>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</si>
  <si>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</si>
  <si>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</si>
  <si>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</si>
  <si>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</si>
  <si>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</si>
  <si>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</si>
  <si>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</si>
  <si>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</si>
  <si>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</si>
  <si>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</si>
  <si>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</si>
  <si>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</si>
  <si>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</si>
  <si>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</si>
  <si>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</si>
  <si>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</si>
  <si>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</si>
  <si>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</si>
  <si>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</si>
  <si>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</si>
  <si>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</si>
  <si>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</si>
  <si>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</si>
  <si>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</si>
  <si>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</si>
  <si>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</si>
  <si>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</si>
  <si>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</si>
  <si>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</si>
  <si>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</si>
  <si>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</si>
  <si>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</si>
  <si>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</si>
  <si>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</si>
  <si>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</si>
  <si>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</si>
  <si>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</si>
  <si>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</si>
  <si>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</si>
  <si>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</si>
  <si>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</si>
  <si>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</si>
  <si>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</si>
  <si>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</si>
  <si>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</si>
  <si>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</si>
  <si>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</si>
  <si>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</si>
  <si>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</si>
  <si>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</si>
  <si>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</si>
  <si>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</si>
  <si>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</si>
  <si>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</si>
  <si>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</si>
  <si>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</si>
  <si>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</si>
  <si>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</si>
  <si>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</si>
  <si>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</si>
  <si>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</si>
  <si>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</si>
  <si>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</si>
  <si>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</si>
  <si>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</si>
  <si>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</si>
  <si>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</si>
  <si>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</si>
  <si>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</si>
  <si>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</si>
  <si>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</si>
  <si>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</si>
  <si>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</si>
  <si>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</si>
  <si>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</si>
  <si>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</si>
  <si>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</si>
  <si>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</si>
  <si>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</si>
  <si>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</si>
  <si>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</si>
  <si>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</si>
  <si>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</si>
  <si>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</si>
  <si>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</si>
  <si>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</si>
  <si>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</si>
  <si>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</si>
  <si>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</si>
  <si>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</si>
  <si>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</si>
  <si>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</si>
  <si>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</si>
  <si>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20261003-121502-base-s123</t>
  </si>
  <si>
    <t>baseline</t>
  </si>
  <si>
    <t>Baseline M-base, seed 123</t>
  </si>
  <si>
    <t>CE</t>
  </si>
  <si>
    <t>SGD+momentum</t>
  </si>
  <si>
    <t>256-128</t>
  </si>
  <si>
    <t>none</t>
  </si>
  <si>
    <t>fp32</t>
  </si>
  <si>
    <t>he</t>
  </si>
  <si>
    <t>figures/20261003-121502-base-s123.png</t>
  </si>
  <si>
    <t>Chỉ số tuning lấy từ validation; eval để trống.</t>
  </si>
  <si>
    <t>20261003-121502-base-s42</t>
  </si>
  <si>
    <t>Baseline M-base, seed 42</t>
  </si>
  <si>
    <t>figures/20261003-121502-base-s42.png</t>
  </si>
  <si>
    <t>20261003-121502-lr-sgdm-0p01</t>
  </si>
  <si>
    <t>hparam</t>
  </si>
  <si>
    <t>Dò lr baseline nhanh, lr=0.01</t>
  </si>
  <si>
    <t>figures/20261003-121502-lr-sgdm-0p01.png</t>
  </si>
  <si>
    <t>20261003-121502-lr-sgdm-0p03</t>
  </si>
  <si>
    <t>Dò lr baseline nhanh, lr=0.03</t>
  </si>
  <si>
    <t>figures/20261003-121502-lr-sgdm-0p03.png</t>
  </si>
  <si>
    <t>20261003-121502-lr-sgdm-0p1</t>
  </si>
  <si>
    <t>Dò lr baseline nhanh, lr=0.1</t>
  </si>
  <si>
    <t>figures/20261003-121502-lr-sgdm-0p1.png</t>
  </si>
  <si>
    <t>20261003-122104-base-s123</t>
  </si>
  <si>
    <t>figures/20261003-122104-base-s123.png</t>
  </si>
  <si>
    <t>20261003-122104-base-s42</t>
  </si>
  <si>
    <t>figures/20261003-122104-base-s42.png</t>
  </si>
  <si>
    <t>20261003-122104-clip-none-highlr-s42</t>
  </si>
  <si>
    <t>clipping</t>
  </si>
  <si>
    <t>Stress test lr cao, không clipping</t>
  </si>
  <si>
    <t>figures/20261003-122104-clip-none-highlr-s42.png</t>
  </si>
  <si>
    <t>Bản ghi cũ không lưu tỷ lệ batch bị clip. Đối chứng stress test lr=1, không clipping.</t>
  </si>
  <si>
    <t>20261003-122104-clip-on-highlr-s42</t>
  </si>
  <si>
    <t>Stress test cùng lr cao, clip_norm=0.5065</t>
  </si>
  <si>
    <t>figures/20261003-122104-clip-on-highlr-s42.png</t>
  </si>
  <si>
    <t>Bản ghi cũ không lưu tỷ lệ batch bị clip. Stress test lr=1, ngưỡng từ grad norm baseline.</t>
  </si>
  <si>
    <t>20261003-122104-dropout-p02-s42</t>
  </si>
  <si>
    <t>Dropout p=0.2 sau ReLU lớp ẩn</t>
  </si>
  <si>
    <t>figures/20261003-122104-dropout-p02-s42.png</t>
  </si>
  <si>
    <t>Dropout p=0,2; train loss được đo ở eval mode.</t>
  </si>
  <si>
    <t>20261003-122104-final</t>
  </si>
  <si>
    <t>final</t>
  </si>
  <si>
    <t>Cấu hình cuối chọn bằng val từ 20261003-122104-opt-adam-0p003-s42</t>
  </si>
  <si>
    <t>figures/20261003-122104-final.png</t>
  </si>
  <si>
    <t>20261003-122104-hparam-batch1024-s42</t>
  </si>
  <si>
    <t>Batch 1024 thay cho 512</t>
  </si>
  <si>
    <t>figures/20261003-122104-hparam-batch1024-s42.png</t>
  </si>
  <si>
    <t>Batch 1024 có 364 bước/epoch so với 727 ở batch 512.</t>
  </si>
  <si>
    <t>20261003-122104-init-xavier-s42</t>
  </si>
  <si>
    <t>Xavier normal, bias=0</t>
  </si>
  <si>
    <t>xavier</t>
  </si>
  <si>
    <t>figures/20261003-122104-init-xavier-s42.png</t>
  </si>
  <si>
    <t>20261003-122104-init-zeros-s42</t>
  </si>
  <si>
    <t>Zero weights, bias=0</t>
  </si>
  <si>
    <t>zeros</t>
  </si>
  <si>
    <t>figures/20261003-122104-init-zeros-s42.png</t>
  </si>
  <si>
    <t>Zero-init; gradient các tầng ẩn bằng 0 sau backward do tính đối xứng/ReLU(0).</t>
  </si>
  <si>
    <t>20261003-122104-loss-mse-s42</t>
  </si>
  <si>
    <t>MSE giữa logits và one-hot, mean trên mọi phần tử</t>
  </si>
  <si>
    <t>MSE</t>
  </si>
  <si>
    <t>figures/20261003-122104-loss-mse-s42.png</t>
  </si>
  <si>
    <t>20261003-122104-lr-sgdm-0p01</t>
  </si>
  <si>
    <t>figures/20261003-122104-lr-sgdm-0p01.png</t>
  </si>
  <si>
    <t>20261003-122104-lr-sgdm-0p03</t>
  </si>
  <si>
    <t>figures/20261003-122104-lr-sgdm-0p03.png</t>
  </si>
  <si>
    <t>20261003-122104-lr-sgdm-0p1</t>
  </si>
  <si>
    <t>figures/20261003-122104-lr-sgdm-0p1.png</t>
  </si>
  <si>
    <t>20261003-122104-opt-adam-0p001-s42</t>
  </si>
  <si>
    <t>So optimizer adam, lr=0.001</t>
  </si>
  <si>
    <t>figures/20261003-122104-opt-adam-0p001-s42.png</t>
  </si>
  <si>
    <t>20261003-122104-opt-adam-0p003-s42</t>
  </si>
  <si>
    <t>So optimizer adam, lr=0.003</t>
  </si>
  <si>
    <t>figures/20261003-122104-opt-adam-0p003-s42.png</t>
  </si>
  <si>
    <t>20261003-122104-opt-adamw-0p001-s42</t>
  </si>
  <si>
    <t>So optimizer adamw, lr=0.001</t>
  </si>
  <si>
    <t>AdamW</t>
  </si>
  <si>
    <t>figures/20261003-122104-opt-adamw-0p001-s42.png</t>
  </si>
  <si>
    <t>AdamW với weight_decay=0 để cô lập ảnh hưởng của optimizer.</t>
  </si>
  <si>
    <t>20261003-122104-opt-adamw-0p003-s42</t>
  </si>
  <si>
    <t>So optimizer adamw, lr=0.003</t>
  </si>
  <si>
    <t>figures/20261003-122104-opt-adamw-0p003-s42.png</t>
  </si>
  <si>
    <t>20261003-122104-opt-sgd-0p03-s42</t>
  </si>
  <si>
    <t>So optimizer sgd, lr=0.03</t>
  </si>
  <si>
    <t>SGD</t>
  </si>
  <si>
    <t>figures/20261003-122104-opt-sgd-0p03-s42.png</t>
  </si>
  <si>
    <t>20261003-122104-opt-sgd-0p1-s42</t>
  </si>
  <si>
    <t>So optimizer sgd, lr=0.1</t>
  </si>
  <si>
    <t>figures/20261003-122104-opt-sgd-0p1-s42.png</t>
  </si>
  <si>
    <t>20261003-122104-opt-sgd_momentum-0p03-s42</t>
  </si>
  <si>
    <t>So optimizer sgd_momentum, lr=0.03</t>
  </si>
  <si>
    <t>figures/20261003-122104-opt-sgd_momentum-0p03-s42.png</t>
  </si>
  <si>
    <t>20261003-122104-precision-bf16-cpu-s42</t>
  </si>
  <si>
    <t>amp</t>
  </si>
  <si>
    <t>BF16 autocast trên CPU; không phải GPU mixed precision</t>
  </si>
  <si>
    <t>bf16</t>
  </si>
  <si>
    <t>figures/20261003-122104-precision-bf16-cpu-s42.png</t>
  </si>
  <si>
    <t>BF16 autocast trên CPU; CUDA không khả dụng; không có số đo bộ nhớ GPU.</t>
  </si>
  <si>
    <t>20261003-124413-base-s123</t>
  </si>
  <si>
    <t>figures/20261003-124413-base-s123.png</t>
  </si>
  <si>
    <t>20261003-124413-base-s42</t>
  </si>
  <si>
    <t>figures/20261003-124413-base-s42.png</t>
  </si>
  <si>
    <t>Baseline seed 42; eval chỉ được chấm sau khi khóa cấu hình cuối.</t>
  </si>
  <si>
    <t>20261003-124413-clip-none-highlr-s42</t>
  </si>
  <si>
    <t>figures/20261003-124413-clip-none-highlr-s42.png</t>
  </si>
  <si>
    <t>Tỷ lệ batch bị clip trung bình 0.000%. Đối chứng stress test lr=1, không clipping.</t>
  </si>
  <si>
    <t>20261003-124413-clip-on-highlr-s42</t>
  </si>
  <si>
    <t>figures/20261003-124413-clip-on-highlr-s42.png</t>
  </si>
  <si>
    <t>Tỷ lệ batch bị clip trung bình 0.199%. Stress test lr=1, ngưỡng từ grad norm baseline.</t>
  </si>
  <si>
    <t>20261003-124413-dropout-p02-s42</t>
  </si>
  <si>
    <t>figures/20261003-124413-dropout-p02-s42.png</t>
  </si>
  <si>
    <t>20261003-124413-final</t>
  </si>
  <si>
    <t>Cấu hình cuối chọn bằng val từ 20261003-124413-opt-adam-0p003-s42</t>
  </si>
  <si>
    <t>figures/20261003-124413-final.png</t>
  </si>
  <si>
    <t>Cấu hình cuối chọn theo validation trước eval; seed 42; đây là lần nộp.</t>
  </si>
  <si>
    <t>20261003-124413-hparam-batch1024-s42</t>
  </si>
  <si>
    <t>figures/20261003-124413-hparam-batch1024-s42.png</t>
  </si>
  <si>
    <t>20261003-124413-init-xavier-s42</t>
  </si>
  <si>
    <t>figures/20261003-124413-init-xavier-s42.png</t>
  </si>
  <si>
    <t>20261003-124413-init-zeros-s42</t>
  </si>
  <si>
    <t>figures/20261003-124413-init-zeros-s42.png</t>
  </si>
  <si>
    <t>20261003-124413-loss-mse-s42</t>
  </si>
  <si>
    <t>figures/20261003-124413-loss-mse-s42.png</t>
  </si>
  <si>
    <t>20261003-124413-lr-sgdm-0p01</t>
  </si>
  <si>
    <t>figures/20261003-124413-lr-sgdm-0p01.png</t>
  </si>
  <si>
    <t>20261003-124413-lr-sgdm-0p03</t>
  </si>
  <si>
    <t>figures/20261003-124413-lr-sgdm-0p03.png</t>
  </si>
  <si>
    <t>20261003-124413-lr-sgdm-0p1</t>
  </si>
  <si>
    <t>figures/20261003-124413-lr-sgdm-0p1.png</t>
  </si>
  <si>
    <t>20261003-124413-opt-adam-0p001-s42</t>
  </si>
  <si>
    <t>figures/20261003-124413-opt-adam-0p001-s42.png</t>
  </si>
  <si>
    <t>20261003-124413-opt-adam-0p003-s42</t>
  </si>
  <si>
    <t>figures/20261003-124413-opt-adam-0p003-s42.png</t>
  </si>
  <si>
    <t>20261003-124413-opt-adamw-0p001-s42</t>
  </si>
  <si>
    <t>figures/20261003-124413-opt-adamw-0p001-s42.png</t>
  </si>
  <si>
    <t>20261003-124413-opt-adamw-0p003-s42</t>
  </si>
  <si>
    <t>figures/20261003-124413-opt-adamw-0p003-s42.png</t>
  </si>
  <si>
    <t>20261003-124413-opt-sgd-0p03-s42</t>
  </si>
  <si>
    <t>figures/20261003-124413-opt-sgd-0p03-s42.png</t>
  </si>
  <si>
    <t>20261003-124413-opt-sgd-0p1-s42</t>
  </si>
  <si>
    <t>figures/20261003-124413-opt-sgd-0p1-s42.png</t>
  </si>
  <si>
    <t>20261003-124413-opt-sgd_momentum-0p03-s42</t>
  </si>
  <si>
    <t>figures/20261003-124413-opt-sgd_momentum-0p03-s42.png</t>
  </si>
  <si>
    <t>20261003-124413-precision-bf16-cpu-s42</t>
  </si>
  <si>
    <t>figures/20261003-124413-precision-bf16-cpu-s42.png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</si>
  <si>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</si>
  <si>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</si>
  <si>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</si>
  <si>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</si>
  <si>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</si>
  <si>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</si>
  <si>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</si>
  <si>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</si>
  <si>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</si>
  <si>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</si>
  <si>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</si>
  <si>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</si>
  <si>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</si>
  <si>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</si>
  <si>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Hai seed; macro-F1 val trung bình 0.8519 ± 0.0004; 2σ=0.0007.</t>
  </si>
  <si>
    <t>MSE macro-F1 0.7374; CE baseline 0.8522.</t>
  </si>
  <si>
    <t>Adam/AdamW lr=0,003 đạt 0.8712; wd AdamW=0.</t>
  </si>
  <si>
    <t>Batch 1024: macro-F1 0.8335; 364 bước/epoch.</t>
  </si>
  <si>
    <t>p=0,2: macro-F1 0.8161; không tăng so với baseline.</t>
  </si>
  <si>
    <t>lr stress=1; macro-F1 không clip 0.6234, có clip 0.7948.</t>
  </si>
  <si>
    <t>CPU BF16: 7.238s/epoch; macro-F1 0.8583.</t>
  </si>
  <si>
    <t>He 0.8522; Xavier 0.8553; zero 0.0936.</t>
  </si>
  <si>
    <t>Đã khóa theo val: adam lr=0.003; eval macro-F1 0.8725.</t>
  </si>
  <si>
    <t>other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</si>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</sst>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baseColWidth="10" defaultColWidth="8.6640625" defaultRowHeight="15" x14ac:dyDescent="0.2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25" customHeight="1" x14ac:dyDescent="0.2">
      <c r="A1" s="1" t="s">
        <v>0</v>
      </c>
    </row>
    <row r="2" spans="1:2" ht="15" customHeight="1" x14ac:dyDescent="0.2">
      <c r="A2" s="2" t="s">
        <v>1</v>
      </c>
    </row>
    <row r="4" spans="1:2" ht="15" customHeight="1" x14ac:dyDescent="0.2">
      <c r="A4" s="3" t="s">
        <v>2</v>
      </c>
    </row>
    <row r="5" spans="1:2" ht="15" customHeight="1" x14ac:dyDescent="0.2">
      <c r="A5" s="4" t="s">
        <v>3</v>
      </c>
      <c r="B5" s="2" t="s">
        <v>4</v>
      </c>
    </row>
    <row r="6" spans="1:2" ht="15" customHeight="1" x14ac:dyDescent="0.2">
      <c r="A6" s="5" t="s">
        <v>5</v>
      </c>
      <c r="B6" s="2" t="s">
        <v>6</v>
      </c>
    </row>
    <row r="7" spans="1:2" ht="15" customHeight="1" x14ac:dyDescent="0.2">
      <c r="A7" s="6" t="s">
        <v>3</v>
      </c>
      <c r="B7" s="2" t="s">
        <v>7</v>
      </c>
    </row>
    <row r="9" spans="1:2" ht="15" customHeight="1" x14ac:dyDescent="0.2">
      <c r="A9" s="3" t="s">
        <v>8</v>
      </c>
    </row>
    <row r="10" spans="1:2" ht="15" customHeight="1" x14ac:dyDescent="0.2">
      <c r="A10" s="2" t="s">
        <v>9</v>
      </c>
    </row>
    <row r="11" spans="1:2" ht="15" customHeight="1" x14ac:dyDescent="0.2">
      <c r="A11" s="2" t="s">
        <v>10</v>
      </c>
    </row>
    <row r="12" spans="1:2" ht="15" customHeight="1" x14ac:dyDescent="0.2">
      <c r="A12" s="2" t="s">
        <v>11</v>
      </c>
    </row>
    <row r="13" spans="1:2" ht="15" customHeight="1" x14ac:dyDescent="0.2">
      <c r="A13" s="2" t="s">
        <v>12</v>
      </c>
    </row>
    <row r="14" spans="1:2" ht="15" customHeight="1" x14ac:dyDescent="0.2">
      <c r="A14" s="2" t="s">
        <v>13</v>
      </c>
    </row>
    <row r="16" spans="1:2" ht="15" customHeight="1" x14ac:dyDescent="0.2">
      <c r="A16" s="3" t="s">
        <v>14</v>
      </c>
    </row>
    <row r="17" spans="1:3" ht="15" customHeight="1" x14ac:dyDescent="0.2">
      <c r="A17" s="7" t="s">
        <v>15</v>
      </c>
      <c r="B17" s="7" t="s">
        <v>16</v>
      </c>
      <c r="C17" s="7" t="s">
        <v>17</v>
      </c>
    </row>
    <row r="18" spans="1:3" ht="15" customHeight="1" x14ac:dyDescent="0.2">
      <c r="A18" s="8" t="s">
        <v>18</v>
      </c>
      <c r="B18" s="9" t="s">
        <v>19</v>
      </c>
      <c r="C18" s="9" t="s">
        <v>20</v>
      </c>
    </row>
    <row r="19" spans="1:3" ht="23.75" customHeight="1" x14ac:dyDescent="0.2">
      <c r="A19" s="8" t="s">
        <v>21</v>
      </c>
      <c r="B19" s="9" t="s">
        <v>22</v>
      </c>
      <c r="C19" s="9" t="s">
        <v>23</v>
      </c>
    </row>
    <row r="20" spans="1:3" ht="15" customHeight="1" x14ac:dyDescent="0.2">
      <c r="A20" s="8" t="s">
        <v>24</v>
      </c>
      <c r="B20" s="9" t="s">
        <v>25</v>
      </c>
      <c r="C20" s="9" t="s">
        <v>26</v>
      </c>
    </row>
    <row r="21" spans="1:3" ht="15" customHeight="1" x14ac:dyDescent="0.2">
      <c r="A21" s="8" t="s">
        <v>27</v>
      </c>
      <c r="B21" s="9" t="s">
        <v>28</v>
      </c>
      <c r="C21" s="9" t="s">
        <v>23</v>
      </c>
    </row>
    <row r="22" spans="1:3" ht="15" customHeight="1" x14ac:dyDescent="0.2">
      <c r="A22" s="8" t="s">
        <v>29</v>
      </c>
      <c r="B22" s="9" t="s">
        <v>30</v>
      </c>
      <c r="C22" s="9" t="s">
        <v>23</v>
      </c>
    </row>
    <row r="23" spans="1:3" ht="15" customHeight="1" x14ac:dyDescent="0.2">
      <c r="A23" s="8" t="s">
        <v>31</v>
      </c>
      <c r="B23" s="9" t="s">
        <v>32</v>
      </c>
      <c r="C23" s="9" t="s">
        <v>33</v>
      </c>
    </row>
    <row r="24" spans="1:3" ht="15" customHeight="1" x14ac:dyDescent="0.2">
      <c r="A24" s="8" t="s">
        <v>34</v>
      </c>
      <c r="B24" s="9" t="s">
        <v>35</v>
      </c>
      <c r="C24" s="9" t="s">
        <v>36</v>
      </c>
    </row>
    <row r="25" spans="1:3" ht="15" customHeight="1" x14ac:dyDescent="0.2">
      <c r="A25" s="8" t="s">
        <v>37</v>
      </c>
      <c r="B25" s="9" t="s">
        <v>38</v>
      </c>
      <c r="C25" s="9" t="s">
        <v>39</v>
      </c>
    </row>
    <row r="26" spans="1:3" ht="15" customHeight="1" x14ac:dyDescent="0.2">
      <c r="A26" s="8" t="s">
        <v>40</v>
      </c>
      <c r="B26" s="9" t="s">
        <v>41</v>
      </c>
      <c r="C26" s="9" t="s">
        <v>42</v>
      </c>
    </row>
    <row r="27" spans="1:3" ht="15" customHeight="1" x14ac:dyDescent="0.2">
      <c r="A27" s="8" t="s">
        <v>43</v>
      </c>
      <c r="B27" s="9" t="s">
        <v>44</v>
      </c>
      <c r="C27" s="9" t="s">
        <v>45</v>
      </c>
    </row>
    <row r="28" spans="1:3" ht="15" customHeight="1" x14ac:dyDescent="0.2">
      <c r="A28" s="8" t="s">
        <v>46</v>
      </c>
      <c r="B28" s="9" t="s">
        <v>47</v>
      </c>
      <c r="C28" s="9" t="s">
        <v>36</v>
      </c>
    </row>
    <row r="29" spans="1:3" ht="15" customHeight="1" x14ac:dyDescent="0.2">
      <c r="A29" s="8" t="s">
        <v>48</v>
      </c>
      <c r="B29" s="9" t="s">
        <v>49</v>
      </c>
      <c r="C29" s="9" t="s">
        <v>50</v>
      </c>
    </row>
    <row r="30" spans="1:3" ht="15" customHeight="1" x14ac:dyDescent="0.2">
      <c r="A30" s="8" t="s">
        <v>51</v>
      </c>
      <c r="B30" s="9" t="s">
        <v>52</v>
      </c>
      <c r="C30" s="9" t="s">
        <v>23</v>
      </c>
    </row>
    <row r="31" spans="1:3" ht="15" customHeight="1" x14ac:dyDescent="0.2">
      <c r="A31" s="8" t="s">
        <v>53</v>
      </c>
      <c r="B31" s="9" t="s">
        <v>54</v>
      </c>
      <c r="C31" s="9" t="s">
        <v>55</v>
      </c>
    </row>
    <row r="32" spans="1:3" ht="15" customHeight="1" x14ac:dyDescent="0.2">
      <c r="A32" s="8" t="s">
        <v>56</v>
      </c>
      <c r="B32" s="9" t="s">
        <v>57</v>
      </c>
      <c r="C32" s="9" t="s">
        <v>39</v>
      </c>
    </row>
    <row r="33" spans="1:3" ht="15" customHeight="1" x14ac:dyDescent="0.2">
      <c r="A33" s="8" t="s">
        <v>58</v>
      </c>
      <c r="B33" s="9" t="s">
        <v>59</v>
      </c>
      <c r="C33" s="9" t="s">
        <v>60</v>
      </c>
    </row>
    <row r="34" spans="1:3" ht="15" customHeight="1" x14ac:dyDescent="0.2">
      <c r="A34" s="8" t="s">
        <v>61</v>
      </c>
      <c r="B34" s="9" t="s">
        <v>62</v>
      </c>
      <c r="C34" s="9"/>
    </row>
    <row r="35" spans="1:3" ht="15" customHeight="1" x14ac:dyDescent="0.2">
      <c r="A35" s="8" t="s">
        <v>63</v>
      </c>
      <c r="B35" s="9" t="s">
        <v>64</v>
      </c>
      <c r="C35" s="9" t="s">
        <v>65</v>
      </c>
    </row>
    <row r="36" spans="1:3" ht="15" customHeight="1" x14ac:dyDescent="0.2">
      <c r="A36" s="8" t="s">
        <v>66</v>
      </c>
      <c r="B36" s="9" t="s">
        <v>67</v>
      </c>
      <c r="C36" s="9"/>
    </row>
    <row r="37" spans="1:3" ht="15" customHeight="1" x14ac:dyDescent="0.2">
      <c r="A37" s="8" t="s">
        <v>68</v>
      </c>
      <c r="B37" s="9" t="s">
        <v>69</v>
      </c>
      <c r="C37" s="9"/>
    </row>
    <row r="38" spans="1:3" ht="15" customHeight="1" x14ac:dyDescent="0.2">
      <c r="A38" s="8" t="s">
        <v>70</v>
      </c>
      <c r="B38" s="9" t="s">
        <v>71</v>
      </c>
      <c r="C38" s="9" t="s">
        <v>72</v>
      </c>
    </row>
    <row r="39" spans="1:3" ht="15" customHeight="1" x14ac:dyDescent="0.2">
      <c r="A39" s="8" t="s">
        <v>73</v>
      </c>
      <c r="B39" s="9" t="s">
        <v>74</v>
      </c>
      <c r="C39" s="9" t="s">
        <v>75</v>
      </c>
    </row>
    <row r="40" spans="1:3" ht="15" customHeight="1" x14ac:dyDescent="0.2">
      <c r="A40" s="8" t="s">
        <v>76</v>
      </c>
      <c r="B40" s="9" t="s">
        <v>77</v>
      </c>
      <c r="C40" s="9" t="s">
        <v>78</v>
      </c>
    </row>
    <row r="41" spans="1:3" ht="15" customHeight="1" x14ac:dyDescent="0.2">
      <c r="A41" s="8" t="s">
        <v>79</v>
      </c>
      <c r="B41" s="9" t="s">
        <v>80</v>
      </c>
      <c r="C41" s="9" t="s">
        <v>81</v>
      </c>
    </row>
    <row r="42" spans="1:3" ht="15" customHeight="1" x14ac:dyDescent="0.2">
      <c r="A42" s="8" t="s">
        <v>82</v>
      </c>
      <c r="B42" s="9" t="s">
        <v>83</v>
      </c>
      <c r="C42" s="9" t="s">
        <v>23</v>
      </c>
    </row>
    <row r="43" spans="1:3" ht="23.75" customHeight="1" x14ac:dyDescent="0.2">
      <c r="A43" s="8" t="s">
        <v>84</v>
      </c>
      <c r="B43" s="9" t="s">
        <v>85</v>
      </c>
      <c r="C43" s="9" t="s">
        <v>86</v>
      </c>
    </row>
    <row r="44" spans="1:3" ht="23.75" customHeight="1" x14ac:dyDescent="0.2">
      <c r="A44" s="8" t="s">
        <v>87</v>
      </c>
      <c r="B44" s="9" t="s">
        <v>88</v>
      </c>
      <c r="C44" s="9" t="s">
        <v>86</v>
      </c>
    </row>
    <row r="45" spans="1:3" ht="15" customHeight="1" x14ac:dyDescent="0.2">
      <c r="A45" s="8" t="s">
        <v>89</v>
      </c>
      <c r="B45" s="9" t="s">
        <v>90</v>
      </c>
      <c r="C45" s="9" t="s">
        <v>91</v>
      </c>
    </row>
    <row r="46" spans="1:3" ht="15" customHeight="1" x14ac:dyDescent="0.2">
      <c r="A46" s="8" t="s">
        <v>92</v>
      </c>
      <c r="B46" s="9" t="s">
        <v>93</v>
      </c>
      <c r="C46" s="9" t="s">
        <v>94</v>
      </c>
    </row>
    <row r="47" spans="1:3" ht="15" customHeight="1" x14ac:dyDescent="0.2">
      <c r="A47" s="8" t="s">
        <v>95</v>
      </c>
      <c r="B47" s="9" t="s">
        <v>96</v>
      </c>
      <c r="C47" s="9" t="s">
        <v>97</v>
      </c>
    </row>
    <row r="48" spans="1:3" ht="15" customHeight="1" x14ac:dyDescent="0.2">
      <c r="A48" s="8" t="s">
        <v>98</v>
      </c>
      <c r="B48" s="9" t="s">
        <v>99</v>
      </c>
      <c r="C48" s="9" t="s">
        <v>100</v>
      </c>
    </row>
    <row r="49" spans="1:12" ht="15" customHeight="1" x14ac:dyDescent="0.2">
      <c r="A49" s="8" t="s">
        <v>101</v>
      </c>
      <c r="B49" s="9" t="s">
        <v>102</v>
      </c>
      <c r="C49" s="9" t="s">
        <v>103</v>
      </c>
    </row>
    <row r="50" spans="1:12" ht="15" customHeight="1" x14ac:dyDescent="0.2">
      <c r="A50" s="8" t="s">
        <v>104</v>
      </c>
      <c r="B50" s="9" t="s">
        <v>105</v>
      </c>
      <c r="C50" s="9" t="s">
        <v>106</v>
      </c>
    </row>
    <row r="52" spans="1:12" ht="15" customHeight="1" x14ac:dyDescent="0.2">
      <c r="A52" s="3" t="s">
        <v>107</v>
      </c>
    </row>
    <row r="53" spans="1:12" ht="23.75" customHeight="1" x14ac:dyDescent="0.2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2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2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42" customHeight="1" x14ac:dyDescent="0.2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15" customHeight="1" x14ac:dyDescent="0.2">
      <c r="A2" s="12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>
        <v>0.1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123</v>
      </c>
      <c r="P2" s="14">
        <v>2.1592793612848351</v>
      </c>
      <c r="Q2" s="14">
        <v>0.22312769657618231</v>
      </c>
      <c r="R2" s="13">
        <v>19</v>
      </c>
      <c r="S2" s="14">
        <v>0.21747701602870759</v>
      </c>
      <c r="T2" s="14">
        <v>0.24350266408862331</v>
      </c>
      <c r="U2" s="14">
        <v>0.91210389137268066</v>
      </c>
      <c r="V2" s="14">
        <v>0.85168312167053595</v>
      </c>
      <c r="W2" s="13">
        <v>0.49088497910415752</v>
      </c>
      <c r="X2" s="13"/>
      <c r="Y2" s="13" t="b">
        <v>0</v>
      </c>
      <c r="Z2" s="14"/>
      <c r="AA2" s="14"/>
      <c r="AB2" s="13" t="s">
        <v>122</v>
      </c>
      <c r="AC2" s="13" t="s">
        <v>123</v>
      </c>
      <c r="AD2" s="15">
        <f t="shared" ref="AD2:AD33" si="0">IF(P2="","",P2-LN(7))</f>
        <v>0.21336921222952188</v>
      </c>
      <c r="AE2" s="15">
        <f t="shared" ref="AE2:AE33" si="1">IF(OR(T2="",S2=""),"",T2-S2)</f>
        <v>2.6025648059915724E-2</v>
      </c>
      <c r="AF2" s="15">
        <f>IF(OR(V2="",Seeds!$C$8=""),"",V2-Seeds!$C$8)</f>
        <v>-2.5788141769844675E-4</v>
      </c>
      <c r="AG2" s="15" t="str">
        <f>IF(OR(AF2="",Seeds!$C$10=""),"",IF(ABS(AF2)&gt;Seeds!$C$10,"Có","Không"))</f>
        <v>Không</v>
      </c>
    </row>
    <row r="3" spans="1:33" ht="15" customHeight="1" x14ac:dyDescent="0.2">
      <c r="A3" s="13" t="s">
        <v>124</v>
      </c>
      <c r="B3" s="13" t="s">
        <v>114</v>
      </c>
      <c r="C3" s="13" t="s">
        <v>125</v>
      </c>
      <c r="D3" s="13" t="s">
        <v>116</v>
      </c>
      <c r="E3" s="13" t="s">
        <v>117</v>
      </c>
      <c r="F3" s="13">
        <v>0.1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 t="s">
        <v>119</v>
      </c>
      <c r="M3" s="13" t="s">
        <v>120</v>
      </c>
      <c r="N3" s="13" t="s">
        <v>121</v>
      </c>
      <c r="O3" s="13">
        <v>42</v>
      </c>
      <c r="P3" s="14">
        <v>2.3775720216483101</v>
      </c>
      <c r="Q3" s="14">
        <v>0.23053023418737531</v>
      </c>
      <c r="R3" s="13">
        <v>18</v>
      </c>
      <c r="S3" s="14">
        <v>0.20701141527811431</v>
      </c>
      <c r="T3" s="14">
        <v>0.2310302331253403</v>
      </c>
      <c r="U3" s="14">
        <v>0.90572494268417358</v>
      </c>
      <c r="V3" s="14">
        <v>0.85219888450593273</v>
      </c>
      <c r="W3" s="13">
        <v>0.51560125629475806</v>
      </c>
      <c r="X3" s="13"/>
      <c r="Y3" s="13" t="b">
        <v>0</v>
      </c>
      <c r="Z3" s="14"/>
      <c r="AA3" s="14"/>
      <c r="AB3" s="13" t="s">
        <v>126</v>
      </c>
      <c r="AC3" s="13" t="s">
        <v>123</v>
      </c>
      <c r="AD3" s="15">
        <f t="shared" si="0"/>
        <v>0.43166187259299682</v>
      </c>
      <c r="AE3" s="15">
        <f t="shared" si="1"/>
        <v>2.4018817847225982E-2</v>
      </c>
      <c r="AF3" s="15">
        <f>IF(OR(V3="",Seeds!$C$8=""),"",V3-Seeds!$C$8)</f>
        <v>2.5788141769833572E-4</v>
      </c>
      <c r="AG3" s="15" t="str">
        <f>IF(OR(AF3="",Seeds!$C$10=""),"",IF(ABS(AF3)&gt;Seeds!$C$10,"Có","Không"))</f>
        <v>Không</v>
      </c>
    </row>
    <row r="4" spans="1:33" ht="15" customHeight="1" x14ac:dyDescent="0.2">
      <c r="A4" s="13" t="s">
        <v>127</v>
      </c>
      <c r="B4" s="13" t="s">
        <v>128</v>
      </c>
      <c r="C4" s="13" t="s">
        <v>129</v>
      </c>
      <c r="D4" s="13" t="s">
        <v>116</v>
      </c>
      <c r="E4" s="13" t="s">
        <v>117</v>
      </c>
      <c r="F4" s="13">
        <v>0.01</v>
      </c>
      <c r="G4" s="13">
        <v>0</v>
      </c>
      <c r="H4" s="13">
        <v>512</v>
      </c>
      <c r="I4" s="13">
        <v>5</v>
      </c>
      <c r="J4" s="13" t="s">
        <v>118</v>
      </c>
      <c r="K4" s="13">
        <v>0</v>
      </c>
      <c r="L4" s="13" t="s">
        <v>119</v>
      </c>
      <c r="M4" s="13" t="s">
        <v>120</v>
      </c>
      <c r="N4" s="13" t="s">
        <v>121</v>
      </c>
      <c r="O4" s="13">
        <v>42</v>
      </c>
      <c r="P4" s="14">
        <v>2.3775720216483101</v>
      </c>
      <c r="Q4" s="14">
        <v>0.44776807374419852</v>
      </c>
      <c r="R4" s="13">
        <v>5</v>
      </c>
      <c r="S4" s="14">
        <v>0.44327735003740409</v>
      </c>
      <c r="T4" s="14">
        <v>0.44776807374419852</v>
      </c>
      <c r="U4" s="14">
        <v>0.81356900930404663</v>
      </c>
      <c r="V4" s="14">
        <v>0.65723945809101825</v>
      </c>
      <c r="W4" s="13">
        <v>0.53315952481934803</v>
      </c>
      <c r="X4" s="13"/>
      <c r="Y4" s="13" t="b">
        <v>0</v>
      </c>
      <c r="Z4" s="14"/>
      <c r="AA4" s="14"/>
      <c r="AB4" s="13" t="s">
        <v>130</v>
      </c>
      <c r="AC4" s="13" t="s">
        <v>123</v>
      </c>
      <c r="AD4" s="15">
        <f t="shared" si="0"/>
        <v>0.43166187259299682</v>
      </c>
      <c r="AE4" s="15">
        <f t="shared" si="1"/>
        <v>4.4907237067944306E-3</v>
      </c>
      <c r="AF4" s="15">
        <f>IF(OR(V4="",Seeds!$C$8=""),"",V4-Seeds!$C$8)</f>
        <v>-0.19470154499721615</v>
      </c>
      <c r="AG4" s="15" t="str">
        <f>IF(OR(AF4="",Seeds!$C$10=""),"",IF(ABS(AF4)&gt;Seeds!$C$10,"Có","Không"))</f>
        <v>Có</v>
      </c>
    </row>
    <row r="5" spans="1:33" ht="15" customHeight="1" x14ac:dyDescent="0.2">
      <c r="A5" s="13" t="s">
        <v>131</v>
      </c>
      <c r="B5" s="13" t="s">
        <v>128</v>
      </c>
      <c r="C5" s="13" t="s">
        <v>132</v>
      </c>
      <c r="D5" s="13" t="s">
        <v>116</v>
      </c>
      <c r="E5" s="13" t="s">
        <v>117</v>
      </c>
      <c r="F5" s="13">
        <v>0.03</v>
      </c>
      <c r="G5" s="13">
        <v>0</v>
      </c>
      <c r="H5" s="13">
        <v>512</v>
      </c>
      <c r="I5" s="13">
        <v>5</v>
      </c>
      <c r="J5" s="13" t="s">
        <v>118</v>
      </c>
      <c r="K5" s="13">
        <v>0</v>
      </c>
      <c r="L5" s="13" t="s">
        <v>119</v>
      </c>
      <c r="M5" s="13" t="s">
        <v>120</v>
      </c>
      <c r="N5" s="13" t="s">
        <v>121</v>
      </c>
      <c r="O5" s="13">
        <v>42</v>
      </c>
      <c r="P5" s="14">
        <v>2.3775720216483101</v>
      </c>
      <c r="Q5" s="14">
        <v>0.37616091163112098</v>
      </c>
      <c r="R5" s="13">
        <v>5</v>
      </c>
      <c r="S5" s="14">
        <v>0.36747940713351801</v>
      </c>
      <c r="T5" s="14">
        <v>0.37616091163112098</v>
      </c>
      <c r="U5" s="14">
        <v>0.8423011302947998</v>
      </c>
      <c r="V5" s="14">
        <v>0.70425762726196894</v>
      </c>
      <c r="W5" s="13">
        <v>0.53520076659042393</v>
      </c>
      <c r="X5" s="13"/>
      <c r="Y5" s="13" t="b">
        <v>0</v>
      </c>
      <c r="Z5" s="14"/>
      <c r="AA5" s="14"/>
      <c r="AB5" s="13" t="s">
        <v>133</v>
      </c>
      <c r="AC5" s="13" t="s">
        <v>123</v>
      </c>
      <c r="AD5" s="15">
        <f t="shared" si="0"/>
        <v>0.43166187259299682</v>
      </c>
      <c r="AE5" s="15">
        <f t="shared" si="1"/>
        <v>8.6815044976029654E-3</v>
      </c>
      <c r="AF5" s="15">
        <f>IF(OR(V5="",Seeds!$C$8=""),"",V5-Seeds!$C$8)</f>
        <v>-0.14768337582626545</v>
      </c>
      <c r="AG5" s="15" t="str">
        <f>IF(OR(AF5="",Seeds!$C$10=""),"",IF(ABS(AF5)&gt;Seeds!$C$10,"Có","Không"))</f>
        <v>Có</v>
      </c>
    </row>
    <row r="6" spans="1:33" ht="15" customHeight="1" x14ac:dyDescent="0.2">
      <c r="A6" s="13" t="s">
        <v>134</v>
      </c>
      <c r="B6" s="13" t="s">
        <v>128</v>
      </c>
      <c r="C6" s="13" t="s">
        <v>135</v>
      </c>
      <c r="D6" s="13" t="s">
        <v>116</v>
      </c>
      <c r="E6" s="13" t="s">
        <v>117</v>
      </c>
      <c r="F6" s="13">
        <v>0.1</v>
      </c>
      <c r="G6" s="13">
        <v>0</v>
      </c>
      <c r="H6" s="13">
        <v>512</v>
      </c>
      <c r="I6" s="13">
        <v>5</v>
      </c>
      <c r="J6" s="13" t="s">
        <v>118</v>
      </c>
      <c r="K6" s="13">
        <v>0</v>
      </c>
      <c r="L6" s="13" t="s">
        <v>119</v>
      </c>
      <c r="M6" s="13" t="s">
        <v>120</v>
      </c>
      <c r="N6" s="13" t="s">
        <v>121</v>
      </c>
      <c r="O6" s="13">
        <v>42</v>
      </c>
      <c r="P6" s="14">
        <v>2.3775720216483101</v>
      </c>
      <c r="Q6" s="14">
        <v>0.3296030785849402</v>
      </c>
      <c r="R6" s="13">
        <v>5</v>
      </c>
      <c r="S6" s="14">
        <v>0.31763536034566298</v>
      </c>
      <c r="T6" s="14">
        <v>0.3296030785849402</v>
      </c>
      <c r="U6" s="14">
        <v>0.86222326755523682</v>
      </c>
      <c r="V6" s="14">
        <v>0.75449567884439361</v>
      </c>
      <c r="W6" s="13">
        <v>0.53756484999321397</v>
      </c>
      <c r="X6" s="13"/>
      <c r="Y6" s="13" t="b">
        <v>0</v>
      </c>
      <c r="Z6" s="14"/>
      <c r="AA6" s="14"/>
      <c r="AB6" s="13" t="s">
        <v>136</v>
      </c>
      <c r="AC6" s="13" t="s">
        <v>123</v>
      </c>
      <c r="AD6" s="15">
        <f t="shared" si="0"/>
        <v>0.43166187259299682</v>
      </c>
      <c r="AE6" s="15">
        <f t="shared" si="1"/>
        <v>1.1967718239277225E-2</v>
      </c>
      <c r="AF6" s="15">
        <f>IF(OR(V6="",Seeds!$C$8=""),"",V6-Seeds!$C$8)</f>
        <v>-9.7445324243840781E-2</v>
      </c>
      <c r="AG6" s="15" t="str">
        <f>IF(OR(AF6="",Seeds!$C$10=""),"",IF(ABS(AF6)&gt;Seeds!$C$10,"Có","Không"))</f>
        <v>Có</v>
      </c>
    </row>
    <row r="7" spans="1:33" ht="15" customHeight="1" x14ac:dyDescent="0.2">
      <c r="A7" s="13" t="s">
        <v>137</v>
      </c>
      <c r="B7" s="13" t="s">
        <v>114</v>
      </c>
      <c r="C7" s="13" t="s">
        <v>115</v>
      </c>
      <c r="D7" s="13" t="s">
        <v>116</v>
      </c>
      <c r="E7" s="13" t="s">
        <v>117</v>
      </c>
      <c r="F7" s="13">
        <v>0.1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 t="s">
        <v>119</v>
      </c>
      <c r="M7" s="13" t="s">
        <v>120</v>
      </c>
      <c r="N7" s="13" t="s">
        <v>121</v>
      </c>
      <c r="O7" s="13">
        <v>123</v>
      </c>
      <c r="P7" s="14">
        <v>2.1592793612848351</v>
      </c>
      <c r="Q7" s="14">
        <v>0.22312769657618231</v>
      </c>
      <c r="R7" s="13">
        <v>19</v>
      </c>
      <c r="S7" s="14">
        <v>0.21747701602870759</v>
      </c>
      <c r="T7" s="14">
        <v>0.24350266408862331</v>
      </c>
      <c r="U7" s="14">
        <v>0.91210389137268066</v>
      </c>
      <c r="V7" s="14">
        <v>0.85168312167053595</v>
      </c>
      <c r="W7" s="13">
        <v>0.4752167707600165</v>
      </c>
      <c r="X7" s="13"/>
      <c r="Y7" s="13" t="b">
        <v>0</v>
      </c>
      <c r="Z7" s="14"/>
      <c r="AA7" s="14"/>
      <c r="AB7" s="13" t="s">
        <v>138</v>
      </c>
      <c r="AC7" s="13" t="s">
        <v>123</v>
      </c>
      <c r="AD7" s="15">
        <f t="shared" si="0"/>
        <v>0.21336921222952188</v>
      </c>
      <c r="AE7" s="15">
        <f t="shared" si="1"/>
        <v>2.6025648059915724E-2</v>
      </c>
      <c r="AF7" s="15">
        <f>IF(OR(V7="",Seeds!$C$8=""),"",V7-Seeds!$C$8)</f>
        <v>-2.5788141769844675E-4</v>
      </c>
      <c r="AG7" s="15" t="str">
        <f>IF(OR(AF7="",Seeds!$C$10=""),"",IF(ABS(AF7)&gt;Seeds!$C$10,"Có","Không"))</f>
        <v>Không</v>
      </c>
    </row>
    <row r="8" spans="1:33" ht="15" customHeight="1" x14ac:dyDescent="0.2">
      <c r="A8" s="13" t="s">
        <v>139</v>
      </c>
      <c r="B8" s="13" t="s">
        <v>114</v>
      </c>
      <c r="C8" s="13" t="s">
        <v>125</v>
      </c>
      <c r="D8" s="13" t="s">
        <v>116</v>
      </c>
      <c r="E8" s="13" t="s">
        <v>117</v>
      </c>
      <c r="F8" s="13">
        <v>0.1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 t="s">
        <v>119</v>
      </c>
      <c r="M8" s="13" t="s">
        <v>120</v>
      </c>
      <c r="N8" s="13" t="s">
        <v>121</v>
      </c>
      <c r="O8" s="13">
        <v>42</v>
      </c>
      <c r="P8" s="14">
        <v>2.3775720216483101</v>
      </c>
      <c r="Q8" s="14">
        <v>0.23053023418737531</v>
      </c>
      <c r="R8" s="13">
        <v>18</v>
      </c>
      <c r="S8" s="14">
        <v>0.20701141527811431</v>
      </c>
      <c r="T8" s="14">
        <v>0.2310302331253403</v>
      </c>
      <c r="U8" s="14">
        <v>0.90572494268417358</v>
      </c>
      <c r="V8" s="14">
        <v>0.85219888450593273</v>
      </c>
      <c r="W8" s="13">
        <v>0.48402274159598158</v>
      </c>
      <c r="X8" s="13"/>
      <c r="Y8" s="13" t="b">
        <v>0</v>
      </c>
      <c r="Z8" s="14"/>
      <c r="AA8" s="14"/>
      <c r="AB8" s="13" t="s">
        <v>140</v>
      </c>
      <c r="AC8" s="13" t="s">
        <v>123</v>
      </c>
      <c r="AD8" s="15">
        <f t="shared" si="0"/>
        <v>0.43166187259299682</v>
      </c>
      <c r="AE8" s="15">
        <f t="shared" si="1"/>
        <v>2.4018817847225982E-2</v>
      </c>
      <c r="AF8" s="15">
        <f>IF(OR(V8="",Seeds!$C$8=""),"",V8-Seeds!$C$8)</f>
        <v>2.5788141769833572E-4</v>
      </c>
      <c r="AG8" s="15" t="str">
        <f>IF(OR(AF8="",Seeds!$C$10=""),"",IF(ABS(AF8)&gt;Seeds!$C$10,"Có","Không"))</f>
        <v>Không</v>
      </c>
    </row>
    <row r="9" spans="1:33" ht="15" customHeight="1" x14ac:dyDescent="0.2">
      <c r="A9" s="13" t="s">
        <v>141</v>
      </c>
      <c r="B9" s="13" t="s">
        <v>142</v>
      </c>
      <c r="C9" s="13" t="s">
        <v>143</v>
      </c>
      <c r="D9" s="13" t="s">
        <v>116</v>
      </c>
      <c r="E9" s="13" t="s">
        <v>117</v>
      </c>
      <c r="F9" s="13">
        <v>1</v>
      </c>
      <c r="G9" s="13">
        <v>0</v>
      </c>
      <c r="H9" s="13">
        <v>512</v>
      </c>
      <c r="I9" s="13">
        <v>20</v>
      </c>
      <c r="J9" s="13" t="s">
        <v>118</v>
      </c>
      <c r="K9" s="13">
        <v>0</v>
      </c>
      <c r="L9" s="13" t="s">
        <v>119</v>
      </c>
      <c r="M9" s="13" t="s">
        <v>120</v>
      </c>
      <c r="N9" s="13" t="s">
        <v>121</v>
      </c>
      <c r="O9" s="13">
        <v>42</v>
      </c>
      <c r="P9" s="14">
        <v>2.3775720216483101</v>
      </c>
      <c r="Q9" s="14">
        <v>0.40138788103726469</v>
      </c>
      <c r="R9" s="13">
        <v>19</v>
      </c>
      <c r="S9" s="14">
        <v>0.40677229518729408</v>
      </c>
      <c r="T9" s="14">
        <v>0.41848269593146048</v>
      </c>
      <c r="U9" s="14">
        <v>0.84221512079238892</v>
      </c>
      <c r="V9" s="14">
        <v>0.62342956949353989</v>
      </c>
      <c r="W9" s="13">
        <v>0.47105227703868879</v>
      </c>
      <c r="X9" s="13"/>
      <c r="Y9" s="13" t="b">
        <v>0</v>
      </c>
      <c r="Z9" s="14"/>
      <c r="AA9" s="14"/>
      <c r="AB9" s="13" t="s">
        <v>144</v>
      </c>
      <c r="AC9" s="13" t="s">
        <v>145</v>
      </c>
      <c r="AD9" s="15">
        <f t="shared" si="0"/>
        <v>0.43166187259299682</v>
      </c>
      <c r="AE9" s="15">
        <f t="shared" si="1"/>
        <v>1.1710400744166405E-2</v>
      </c>
      <c r="AF9" s="15">
        <f>IF(OR(V9="",Seeds!$C$8=""),"",V9-Seeds!$C$8)</f>
        <v>-0.2285114335946945</v>
      </c>
      <c r="AG9" s="15" t="str">
        <f>IF(OR(AF9="",Seeds!$C$10=""),"",IF(ABS(AF9)&gt;Seeds!$C$10,"Có","Không"))</f>
        <v>Có</v>
      </c>
    </row>
    <row r="10" spans="1:33" ht="15" customHeight="1" x14ac:dyDescent="0.2">
      <c r="A10" s="13" t="s">
        <v>146</v>
      </c>
      <c r="B10" s="13" t="s">
        <v>142</v>
      </c>
      <c r="C10" s="13" t="s">
        <v>147</v>
      </c>
      <c r="D10" s="13" t="s">
        <v>116</v>
      </c>
      <c r="E10" s="13" t="s">
        <v>117</v>
      </c>
      <c r="F10" s="13">
        <v>1</v>
      </c>
      <c r="G10" s="13">
        <v>0</v>
      </c>
      <c r="H10" s="13">
        <v>512</v>
      </c>
      <c r="I10" s="13">
        <v>20</v>
      </c>
      <c r="J10" s="13" t="s">
        <v>118</v>
      </c>
      <c r="K10" s="13">
        <v>0</v>
      </c>
      <c r="L10" s="13">
        <v>0.50649607424845877</v>
      </c>
      <c r="M10" s="13" t="s">
        <v>120</v>
      </c>
      <c r="N10" s="13" t="s">
        <v>121</v>
      </c>
      <c r="O10" s="13">
        <v>42</v>
      </c>
      <c r="P10" s="14">
        <v>2.3775720216483101</v>
      </c>
      <c r="Q10" s="14">
        <v>0.29009073464957807</v>
      </c>
      <c r="R10" s="13">
        <v>17</v>
      </c>
      <c r="S10" s="14">
        <v>0.29617446944779041</v>
      </c>
      <c r="T10" s="14">
        <v>0.31765045365235511</v>
      </c>
      <c r="U10" s="14">
        <v>0.88750243186950684</v>
      </c>
      <c r="V10" s="14">
        <v>0.7948050280585931</v>
      </c>
      <c r="W10" s="13">
        <v>0.45633129159978131</v>
      </c>
      <c r="X10" s="13"/>
      <c r="Y10" s="13" t="b">
        <v>0</v>
      </c>
      <c r="Z10" s="14"/>
      <c r="AA10" s="14"/>
      <c r="AB10" s="13" t="s">
        <v>148</v>
      </c>
      <c r="AC10" s="13" t="s">
        <v>149</v>
      </c>
      <c r="AD10" s="15">
        <f t="shared" si="0"/>
        <v>0.43166187259299682</v>
      </c>
      <c r="AE10" s="15">
        <f t="shared" si="1"/>
        <v>2.1475984204564702E-2</v>
      </c>
      <c r="AF10" s="15">
        <f>IF(OR(V10="",Seeds!$C$8=""),"",V10-Seeds!$C$8)</f>
        <v>-5.7135975029641295E-2</v>
      </c>
      <c r="AG10" s="15" t="str">
        <f>IF(OR(AF10="",Seeds!$C$10=""),"",IF(ABS(AF10)&gt;Seeds!$C$10,"Có","Không"))</f>
        <v>Có</v>
      </c>
    </row>
    <row r="11" spans="1:33" ht="15" customHeight="1" x14ac:dyDescent="0.2">
      <c r="A11" s="13" t="s">
        <v>150</v>
      </c>
      <c r="B11" s="13" t="s">
        <v>46</v>
      </c>
      <c r="C11" s="13" t="s">
        <v>151</v>
      </c>
      <c r="D11" s="13" t="s">
        <v>116</v>
      </c>
      <c r="E11" s="13" t="s">
        <v>117</v>
      </c>
      <c r="F11" s="13">
        <v>0.1</v>
      </c>
      <c r="G11" s="13">
        <v>0</v>
      </c>
      <c r="H11" s="13">
        <v>512</v>
      </c>
      <c r="I11" s="13">
        <v>20</v>
      </c>
      <c r="J11" s="13" t="s">
        <v>118</v>
      </c>
      <c r="K11" s="13">
        <v>0.2</v>
      </c>
      <c r="L11" s="13" t="s">
        <v>119</v>
      </c>
      <c r="M11" s="13" t="s">
        <v>120</v>
      </c>
      <c r="N11" s="13" t="s">
        <v>121</v>
      </c>
      <c r="O11" s="13">
        <v>42</v>
      </c>
      <c r="P11" s="14">
        <v>2.3775720216483101</v>
      </c>
      <c r="Q11" s="14">
        <v>0.28051794817429659</v>
      </c>
      <c r="R11" s="13">
        <v>20</v>
      </c>
      <c r="S11" s="14">
        <v>0.27226893659724111</v>
      </c>
      <c r="T11" s="14">
        <v>0.28051794817429659</v>
      </c>
      <c r="U11" s="14">
        <v>0.88716894388198853</v>
      </c>
      <c r="V11" s="14">
        <v>0.81611403558085382</v>
      </c>
      <c r="W11" s="13">
        <v>0.78540948965528512</v>
      </c>
      <c r="X11" s="13"/>
      <c r="Y11" s="13" t="b">
        <v>0</v>
      </c>
      <c r="Z11" s="14"/>
      <c r="AA11" s="14"/>
      <c r="AB11" s="13" t="s">
        <v>152</v>
      </c>
      <c r="AC11" s="13" t="s">
        <v>153</v>
      </c>
      <c r="AD11" s="15">
        <f t="shared" si="0"/>
        <v>0.43166187259299682</v>
      </c>
      <c r="AE11" s="15">
        <f t="shared" si="1"/>
        <v>8.2490115770554873E-3</v>
      </c>
      <c r="AF11" s="15">
        <f>IF(OR(V11="",Seeds!$C$8=""),"",V11-Seeds!$C$8)</f>
        <v>-3.5826967507380569E-2</v>
      </c>
      <c r="AG11" s="15" t="str">
        <f>IF(OR(AF11="",Seeds!$C$10=""),"",IF(ABS(AF11)&gt;Seeds!$C$10,"Có","Không"))</f>
        <v>Có</v>
      </c>
    </row>
    <row r="12" spans="1:33" ht="15" customHeight="1" x14ac:dyDescent="0.2">
      <c r="A12" s="13" t="s">
        <v>154</v>
      </c>
      <c r="B12" s="13" t="s">
        <v>155</v>
      </c>
      <c r="C12" s="13" t="s">
        <v>156</v>
      </c>
      <c r="D12" s="13" t="s">
        <v>116</v>
      </c>
      <c r="E12" s="13" t="s">
        <v>109</v>
      </c>
      <c r="F12" s="13">
        <v>3.0000000000000001E-3</v>
      </c>
      <c r="G12" s="13">
        <v>0</v>
      </c>
      <c r="H12" s="13">
        <v>512</v>
      </c>
      <c r="I12" s="13">
        <v>20</v>
      </c>
      <c r="J12" s="13" t="s">
        <v>118</v>
      </c>
      <c r="K12" s="13">
        <v>0</v>
      </c>
      <c r="L12" s="13" t="s">
        <v>119</v>
      </c>
      <c r="M12" s="13" t="s">
        <v>120</v>
      </c>
      <c r="N12" s="13" t="s">
        <v>121</v>
      </c>
      <c r="O12" s="13">
        <v>42</v>
      </c>
      <c r="P12" s="14">
        <v>2.3775720216483101</v>
      </c>
      <c r="Q12" s="14">
        <v>0.2115831167382296</v>
      </c>
      <c r="R12" s="13">
        <v>20</v>
      </c>
      <c r="S12" s="14">
        <v>0.18322488753998631</v>
      </c>
      <c r="T12" s="14">
        <v>0.2115831167382296</v>
      </c>
      <c r="U12" s="14">
        <v>0.91611623764038086</v>
      </c>
      <c r="V12" s="14">
        <v>0.87121971017943689</v>
      </c>
      <c r="W12" s="13">
        <v>0.49253056045272392</v>
      </c>
      <c r="X12" s="13"/>
      <c r="Y12" s="13" t="b">
        <v>0</v>
      </c>
      <c r="Z12" s="14"/>
      <c r="AA12" s="14"/>
      <c r="AB12" s="13" t="s">
        <v>157</v>
      </c>
      <c r="AC12" s="13" t="s">
        <v>123</v>
      </c>
      <c r="AD12" s="15">
        <f t="shared" si="0"/>
        <v>0.43166187259299682</v>
      </c>
      <c r="AE12" s="15">
        <f t="shared" si="1"/>
        <v>2.8358229198243295E-2</v>
      </c>
      <c r="AF12" s="15">
        <f>IF(OR(V12="",Seeds!$C$8=""),"",V12-Seeds!$C$8)</f>
        <v>1.9278707091202496E-2</v>
      </c>
      <c r="AG12" s="15" t="str">
        <f>IF(OR(AF12="",Seeds!$C$10=""),"",IF(ABS(AF12)&gt;Seeds!$C$10,"Có","Không"))</f>
        <v>Có</v>
      </c>
    </row>
    <row r="13" spans="1:33" ht="15" customHeight="1" x14ac:dyDescent="0.2">
      <c r="A13" s="13" t="s">
        <v>158</v>
      </c>
      <c r="B13" s="13" t="s">
        <v>128</v>
      </c>
      <c r="C13" s="13" t="s">
        <v>159</v>
      </c>
      <c r="D13" s="13" t="s">
        <v>116</v>
      </c>
      <c r="E13" s="13" t="s">
        <v>117</v>
      </c>
      <c r="F13" s="13">
        <v>0.1</v>
      </c>
      <c r="G13" s="13">
        <v>0</v>
      </c>
      <c r="H13" s="13">
        <v>1024</v>
      </c>
      <c r="I13" s="13">
        <v>20</v>
      </c>
      <c r="J13" s="13" t="s">
        <v>118</v>
      </c>
      <c r="K13" s="13">
        <v>0</v>
      </c>
      <c r="L13" s="13" t="s">
        <v>119</v>
      </c>
      <c r="M13" s="13" t="s">
        <v>120</v>
      </c>
      <c r="N13" s="13" t="s">
        <v>121</v>
      </c>
      <c r="O13" s="13">
        <v>42</v>
      </c>
      <c r="P13" s="14">
        <v>2.3775720216483101</v>
      </c>
      <c r="Q13" s="14">
        <v>0.25263031496525329</v>
      </c>
      <c r="R13" s="13">
        <v>19</v>
      </c>
      <c r="S13" s="14">
        <v>0.26440764459411742</v>
      </c>
      <c r="T13" s="14">
        <v>0.28411632391621211</v>
      </c>
      <c r="U13" s="14">
        <v>0.89662444591522217</v>
      </c>
      <c r="V13" s="14">
        <v>0.83351081678684813</v>
      </c>
      <c r="W13" s="13">
        <v>0.3821913186489837</v>
      </c>
      <c r="X13" s="13"/>
      <c r="Y13" s="13" t="b">
        <v>0</v>
      </c>
      <c r="Z13" s="14"/>
      <c r="AA13" s="14"/>
      <c r="AB13" s="13" t="s">
        <v>160</v>
      </c>
      <c r="AC13" s="13" t="s">
        <v>161</v>
      </c>
      <c r="AD13" s="15">
        <f t="shared" si="0"/>
        <v>0.43166187259299682</v>
      </c>
      <c r="AE13" s="15">
        <f t="shared" si="1"/>
        <v>1.9708679322094691E-2</v>
      </c>
      <c r="AF13" s="15">
        <f>IF(OR(V13="",Seeds!$C$8=""),"",V13-Seeds!$C$8)</f>
        <v>-1.8430186301386264E-2</v>
      </c>
      <c r="AG13" s="15" t="str">
        <f>IF(OR(AF13="",Seeds!$C$10=""),"",IF(ABS(AF13)&gt;Seeds!$C$10,"Có","Không"))</f>
        <v>Có</v>
      </c>
    </row>
    <row r="14" spans="1:33" ht="15" customHeight="1" x14ac:dyDescent="0.2">
      <c r="A14" s="13" t="s">
        <v>162</v>
      </c>
      <c r="B14" s="13" t="s">
        <v>53</v>
      </c>
      <c r="C14" s="13" t="s">
        <v>163</v>
      </c>
      <c r="D14" s="13" t="s">
        <v>116</v>
      </c>
      <c r="E14" s="13" t="s">
        <v>117</v>
      </c>
      <c r="F14" s="13">
        <v>0.1</v>
      </c>
      <c r="G14" s="13">
        <v>0</v>
      </c>
      <c r="H14" s="13">
        <v>512</v>
      </c>
      <c r="I14" s="13">
        <v>20</v>
      </c>
      <c r="J14" s="13" t="s">
        <v>118</v>
      </c>
      <c r="K14" s="13">
        <v>0</v>
      </c>
      <c r="L14" s="13" t="s">
        <v>119</v>
      </c>
      <c r="M14" s="13" t="s">
        <v>120</v>
      </c>
      <c r="N14" s="13" t="s">
        <v>164</v>
      </c>
      <c r="O14" s="13">
        <v>42</v>
      </c>
      <c r="P14" s="14">
        <v>2.0429059692448961</v>
      </c>
      <c r="Q14" s="14">
        <v>0.2194436717295882</v>
      </c>
      <c r="R14" s="13">
        <v>18</v>
      </c>
      <c r="S14" s="14">
        <v>0.21465894338661751</v>
      </c>
      <c r="T14" s="14">
        <v>0.23484397897806311</v>
      </c>
      <c r="U14" s="14">
        <v>0.91241580247879028</v>
      </c>
      <c r="V14" s="14">
        <v>0.85530950530032868</v>
      </c>
      <c r="W14" s="13">
        <v>0.44635991246032058</v>
      </c>
      <c r="X14" s="13"/>
      <c r="Y14" s="13" t="b">
        <v>0</v>
      </c>
      <c r="Z14" s="14"/>
      <c r="AA14" s="14"/>
      <c r="AB14" s="13" t="s">
        <v>165</v>
      </c>
      <c r="AC14" s="13" t="s">
        <v>123</v>
      </c>
      <c r="AD14" s="15">
        <f t="shared" si="0"/>
        <v>9.699582018958286E-2</v>
      </c>
      <c r="AE14" s="15">
        <f t="shared" si="1"/>
        <v>2.0185035591445605E-2</v>
      </c>
      <c r="AF14" s="15">
        <f>IF(OR(V14="",Seeds!$C$8=""),"",V14-Seeds!$C$8)</f>
        <v>3.368502212094282E-3</v>
      </c>
      <c r="AG14" s="15" t="str">
        <f>IF(OR(AF14="",Seeds!$C$10=""),"",IF(ABS(AF14)&gt;Seeds!$C$10,"Có","Không"))</f>
        <v>Có</v>
      </c>
    </row>
    <row r="15" spans="1:33" ht="15" customHeight="1" x14ac:dyDescent="0.2">
      <c r="A15" s="13" t="s">
        <v>166</v>
      </c>
      <c r="B15" s="13" t="s">
        <v>53</v>
      </c>
      <c r="C15" s="13" t="s">
        <v>167</v>
      </c>
      <c r="D15" s="13" t="s">
        <v>116</v>
      </c>
      <c r="E15" s="13" t="s">
        <v>117</v>
      </c>
      <c r="F15" s="13">
        <v>0.1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 t="s">
        <v>119</v>
      </c>
      <c r="M15" s="13" t="s">
        <v>120</v>
      </c>
      <c r="N15" s="13" t="s">
        <v>168</v>
      </c>
      <c r="O15" s="13">
        <v>42</v>
      </c>
      <c r="P15" s="14">
        <v>1.9459096193313601</v>
      </c>
      <c r="Q15" s="14">
        <v>1.205189197504726</v>
      </c>
      <c r="R15" s="13">
        <v>11</v>
      </c>
      <c r="S15" s="14">
        <v>1.2057845622576251</v>
      </c>
      <c r="T15" s="14">
        <v>1.2057860827749129</v>
      </c>
      <c r="U15" s="14">
        <v>0.48759707808494568</v>
      </c>
      <c r="V15" s="14">
        <v>9.3649990186254556E-2</v>
      </c>
      <c r="W15" s="13">
        <v>0.44569150210300001</v>
      </c>
      <c r="X15" s="13"/>
      <c r="Y15" s="13" t="b">
        <v>0</v>
      </c>
      <c r="Z15" s="14"/>
      <c r="AA15" s="14"/>
      <c r="AB15" s="13" t="s">
        <v>169</v>
      </c>
      <c r="AC15" s="13" t="s">
        <v>170</v>
      </c>
      <c r="AD15" s="15">
        <f t="shared" si="0"/>
        <v>-5.2972395314654364E-7</v>
      </c>
      <c r="AE15" s="15">
        <f t="shared" si="1"/>
        <v>1.5205172878562934E-6</v>
      </c>
      <c r="AF15" s="15">
        <f>IF(OR(V15="",Seeds!$C$8=""),"",V15-Seeds!$C$8)</f>
        <v>-0.75829101290197987</v>
      </c>
      <c r="AG15" s="15" t="str">
        <f>IF(OR(AF15="",Seeds!$C$10=""),"",IF(ABS(AF15)&gt;Seeds!$C$10,"Có","Không"))</f>
        <v>Có</v>
      </c>
    </row>
    <row r="16" spans="1:33" ht="15" customHeight="1" x14ac:dyDescent="0.2">
      <c r="A16" s="13" t="s">
        <v>171</v>
      </c>
      <c r="B16" s="13" t="s">
        <v>27</v>
      </c>
      <c r="C16" s="13" t="s">
        <v>172</v>
      </c>
      <c r="D16" s="13" t="s">
        <v>173</v>
      </c>
      <c r="E16" s="13" t="s">
        <v>117</v>
      </c>
      <c r="F16" s="13">
        <v>0.1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 t="s">
        <v>119</v>
      </c>
      <c r="M16" s="13" t="s">
        <v>120</v>
      </c>
      <c r="N16" s="13" t="s">
        <v>121</v>
      </c>
      <c r="O16" s="13">
        <v>42</v>
      </c>
      <c r="P16" s="14">
        <v>0.60616935460375276</v>
      </c>
      <c r="Q16" s="14">
        <v>2.963449279308147E-2</v>
      </c>
      <c r="R16" s="13">
        <v>19</v>
      </c>
      <c r="S16" s="14">
        <v>2.909814217107886E-2</v>
      </c>
      <c r="T16" s="14">
        <v>3.0042375087775221E-2</v>
      </c>
      <c r="U16" s="14">
        <v>0.86782771348953247</v>
      </c>
      <c r="V16" s="14">
        <v>0.73737083547475102</v>
      </c>
      <c r="W16" s="13">
        <v>0.46459931250428782</v>
      </c>
      <c r="X16" s="13"/>
      <c r="Y16" s="13" t="b">
        <v>0</v>
      </c>
      <c r="Z16" s="14"/>
      <c r="AA16" s="14"/>
      <c r="AB16" s="13" t="s">
        <v>174</v>
      </c>
      <c r="AC16" s="13" t="s">
        <v>123</v>
      </c>
      <c r="AD16" s="15">
        <f t="shared" si="0"/>
        <v>-1.3397407944515605</v>
      </c>
      <c r="AE16" s="15">
        <f t="shared" si="1"/>
        <v>9.4423291669636089E-4</v>
      </c>
      <c r="AF16" s="15">
        <f>IF(OR(V16="",Seeds!$C$8=""),"",V16-Seeds!$C$8)</f>
        <v>-0.11457016761348338</v>
      </c>
      <c r="AG16" s="15" t="str">
        <f>IF(OR(AF16="",Seeds!$C$10=""),"",IF(ABS(AF16)&gt;Seeds!$C$10,"Có","Không"))</f>
        <v>Có</v>
      </c>
    </row>
    <row r="17" spans="1:33" ht="15" customHeight="1" x14ac:dyDescent="0.2">
      <c r="A17" s="13" t="s">
        <v>175</v>
      </c>
      <c r="B17" s="13" t="s">
        <v>128</v>
      </c>
      <c r="C17" s="13" t="s">
        <v>129</v>
      </c>
      <c r="D17" s="13" t="s">
        <v>116</v>
      </c>
      <c r="E17" s="13" t="s">
        <v>117</v>
      </c>
      <c r="F17" s="13">
        <v>0.01</v>
      </c>
      <c r="G17" s="13">
        <v>0</v>
      </c>
      <c r="H17" s="13">
        <v>512</v>
      </c>
      <c r="I17" s="13">
        <v>5</v>
      </c>
      <c r="J17" s="13" t="s">
        <v>118</v>
      </c>
      <c r="K17" s="13">
        <v>0</v>
      </c>
      <c r="L17" s="13" t="s">
        <v>119</v>
      </c>
      <c r="M17" s="13" t="s">
        <v>120</v>
      </c>
      <c r="N17" s="13" t="s">
        <v>121</v>
      </c>
      <c r="O17" s="13">
        <v>42</v>
      </c>
      <c r="P17" s="14">
        <v>2.3775720216483101</v>
      </c>
      <c r="Q17" s="14">
        <v>0.44776807374419852</v>
      </c>
      <c r="R17" s="13">
        <v>5</v>
      </c>
      <c r="S17" s="14">
        <v>0.44327735003740409</v>
      </c>
      <c r="T17" s="14">
        <v>0.44776807374419852</v>
      </c>
      <c r="U17" s="14">
        <v>0.81356900930404663</v>
      </c>
      <c r="V17" s="14">
        <v>0.65723945809101825</v>
      </c>
      <c r="W17" s="13">
        <v>0.52178115819115189</v>
      </c>
      <c r="X17" s="13"/>
      <c r="Y17" s="13" t="b">
        <v>0</v>
      </c>
      <c r="Z17" s="14"/>
      <c r="AA17" s="14"/>
      <c r="AB17" s="13" t="s">
        <v>176</v>
      </c>
      <c r="AC17" s="13" t="s">
        <v>123</v>
      </c>
      <c r="AD17" s="15">
        <f t="shared" si="0"/>
        <v>0.43166187259299682</v>
      </c>
      <c r="AE17" s="15">
        <f t="shared" si="1"/>
        <v>4.4907237067944306E-3</v>
      </c>
      <c r="AF17" s="15">
        <f>IF(OR(V17="",Seeds!$C$8=""),"",V17-Seeds!$C$8)</f>
        <v>-0.19470154499721615</v>
      </c>
      <c r="AG17" s="15" t="str">
        <f>IF(OR(AF17="",Seeds!$C$10=""),"",IF(ABS(AF17)&gt;Seeds!$C$10,"Có","Không"))</f>
        <v>Có</v>
      </c>
    </row>
    <row r="18" spans="1:33" ht="15" customHeight="1" x14ac:dyDescent="0.2">
      <c r="A18" s="13" t="s">
        <v>177</v>
      </c>
      <c r="B18" s="13" t="s">
        <v>128</v>
      </c>
      <c r="C18" s="13" t="s">
        <v>132</v>
      </c>
      <c r="D18" s="13" t="s">
        <v>116</v>
      </c>
      <c r="E18" s="13" t="s">
        <v>117</v>
      </c>
      <c r="F18" s="13">
        <v>0.03</v>
      </c>
      <c r="G18" s="13">
        <v>0</v>
      </c>
      <c r="H18" s="13">
        <v>512</v>
      </c>
      <c r="I18" s="13">
        <v>5</v>
      </c>
      <c r="J18" s="13" t="s">
        <v>118</v>
      </c>
      <c r="K18" s="13">
        <v>0</v>
      </c>
      <c r="L18" s="13" t="s">
        <v>119</v>
      </c>
      <c r="M18" s="13" t="s">
        <v>120</v>
      </c>
      <c r="N18" s="13" t="s">
        <v>121</v>
      </c>
      <c r="O18" s="13">
        <v>42</v>
      </c>
      <c r="P18" s="14">
        <v>2.3775720216483101</v>
      </c>
      <c r="Q18" s="14">
        <v>0.37616091163112098</v>
      </c>
      <c r="R18" s="13">
        <v>5</v>
      </c>
      <c r="S18" s="14">
        <v>0.36747940713351801</v>
      </c>
      <c r="T18" s="14">
        <v>0.37616091163112098</v>
      </c>
      <c r="U18" s="14">
        <v>0.8423011302947998</v>
      </c>
      <c r="V18" s="14">
        <v>0.70425762726196894</v>
      </c>
      <c r="W18" s="13">
        <v>0.50455274180276322</v>
      </c>
      <c r="X18" s="13"/>
      <c r="Y18" s="13" t="b">
        <v>0</v>
      </c>
      <c r="Z18" s="14"/>
      <c r="AA18" s="14"/>
      <c r="AB18" s="13" t="s">
        <v>178</v>
      </c>
      <c r="AC18" s="13" t="s">
        <v>123</v>
      </c>
      <c r="AD18" s="15">
        <f t="shared" si="0"/>
        <v>0.43166187259299682</v>
      </c>
      <c r="AE18" s="15">
        <f t="shared" si="1"/>
        <v>8.6815044976029654E-3</v>
      </c>
      <c r="AF18" s="15">
        <f>IF(OR(V18="",Seeds!$C$8=""),"",V18-Seeds!$C$8)</f>
        <v>-0.14768337582626545</v>
      </c>
      <c r="AG18" s="15" t="str">
        <f>IF(OR(AF18="",Seeds!$C$10=""),"",IF(ABS(AF18)&gt;Seeds!$C$10,"Có","Không"))</f>
        <v>Có</v>
      </c>
    </row>
    <row r="19" spans="1:33" ht="15" customHeight="1" x14ac:dyDescent="0.2">
      <c r="A19" s="13" t="s">
        <v>179</v>
      </c>
      <c r="B19" s="13" t="s">
        <v>128</v>
      </c>
      <c r="C19" s="13" t="s">
        <v>135</v>
      </c>
      <c r="D19" s="13" t="s">
        <v>116</v>
      </c>
      <c r="E19" s="13" t="s">
        <v>117</v>
      </c>
      <c r="F19" s="13">
        <v>0.1</v>
      </c>
      <c r="G19" s="13">
        <v>0</v>
      </c>
      <c r="H19" s="13">
        <v>512</v>
      </c>
      <c r="I19" s="13">
        <v>5</v>
      </c>
      <c r="J19" s="13" t="s">
        <v>118</v>
      </c>
      <c r="K19" s="13">
        <v>0</v>
      </c>
      <c r="L19" s="13" t="s">
        <v>119</v>
      </c>
      <c r="M19" s="13" t="s">
        <v>120</v>
      </c>
      <c r="N19" s="13" t="s">
        <v>121</v>
      </c>
      <c r="O19" s="13">
        <v>42</v>
      </c>
      <c r="P19" s="14">
        <v>2.3775720216483101</v>
      </c>
      <c r="Q19" s="14">
        <v>0.3296030785849402</v>
      </c>
      <c r="R19" s="13">
        <v>5</v>
      </c>
      <c r="S19" s="14">
        <v>0.31763536034566298</v>
      </c>
      <c r="T19" s="14">
        <v>0.3296030785849402</v>
      </c>
      <c r="U19" s="14">
        <v>0.86222326755523682</v>
      </c>
      <c r="V19" s="14">
        <v>0.75449567884439361</v>
      </c>
      <c r="W19" s="13">
        <v>0.5181102250004187</v>
      </c>
      <c r="X19" s="13"/>
      <c r="Y19" s="13" t="b">
        <v>0</v>
      </c>
      <c r="Z19" s="14"/>
      <c r="AA19" s="14"/>
      <c r="AB19" s="13" t="s">
        <v>180</v>
      </c>
      <c r="AC19" s="13" t="s">
        <v>123</v>
      </c>
      <c r="AD19" s="15">
        <f t="shared" si="0"/>
        <v>0.43166187259299682</v>
      </c>
      <c r="AE19" s="15">
        <f t="shared" si="1"/>
        <v>1.1967718239277225E-2</v>
      </c>
      <c r="AF19" s="15">
        <f>IF(OR(V19="",Seeds!$C$8=""),"",V19-Seeds!$C$8)</f>
        <v>-9.7445324243840781E-2</v>
      </c>
      <c r="AG19" s="15" t="str">
        <f>IF(OR(AF19="",Seeds!$C$10=""),"",IF(ABS(AF19)&gt;Seeds!$C$10,"Có","Không"))</f>
        <v>Có</v>
      </c>
    </row>
    <row r="20" spans="1:33" ht="15" customHeight="1" x14ac:dyDescent="0.2">
      <c r="A20" s="13" t="s">
        <v>181</v>
      </c>
      <c r="B20" s="13" t="s">
        <v>29</v>
      </c>
      <c r="C20" s="13" t="s">
        <v>182</v>
      </c>
      <c r="D20" s="13" t="s">
        <v>116</v>
      </c>
      <c r="E20" s="13" t="s">
        <v>109</v>
      </c>
      <c r="F20" s="13">
        <v>1E-3</v>
      </c>
      <c r="G20" s="13">
        <v>0</v>
      </c>
      <c r="H20" s="13">
        <v>512</v>
      </c>
      <c r="I20" s="13">
        <v>20</v>
      </c>
      <c r="J20" s="13" t="s">
        <v>118</v>
      </c>
      <c r="K20" s="13">
        <v>0</v>
      </c>
      <c r="L20" s="13" t="s">
        <v>119</v>
      </c>
      <c r="M20" s="13" t="s">
        <v>120</v>
      </c>
      <c r="N20" s="13" t="s">
        <v>121</v>
      </c>
      <c r="O20" s="13">
        <v>42</v>
      </c>
      <c r="P20" s="14">
        <v>2.3775720216483101</v>
      </c>
      <c r="Q20" s="14">
        <v>0.24203435210193111</v>
      </c>
      <c r="R20" s="13">
        <v>19</v>
      </c>
      <c r="S20" s="14">
        <v>0.23523292338008139</v>
      </c>
      <c r="T20" s="14">
        <v>0.25545513136659598</v>
      </c>
      <c r="U20" s="14">
        <v>0.90229338407516479</v>
      </c>
      <c r="V20" s="14">
        <v>0.84863310274298598</v>
      </c>
      <c r="W20" s="13">
        <v>0.52277548140264118</v>
      </c>
      <c r="X20" s="13"/>
      <c r="Y20" s="13" t="b">
        <v>0</v>
      </c>
      <c r="Z20" s="14"/>
      <c r="AA20" s="14"/>
      <c r="AB20" s="13" t="s">
        <v>183</v>
      </c>
      <c r="AC20" s="13" t="s">
        <v>123</v>
      </c>
      <c r="AD20" s="15">
        <f t="shared" si="0"/>
        <v>0.43166187259299682</v>
      </c>
      <c r="AE20" s="15">
        <f t="shared" si="1"/>
        <v>2.0222207986514584E-2</v>
      </c>
      <c r="AF20" s="15">
        <f>IF(OR(V20="",Seeds!$C$8=""),"",V20-Seeds!$C$8)</f>
        <v>-3.3079003452484157E-3</v>
      </c>
      <c r="AG20" s="15" t="str">
        <f>IF(OR(AF20="",Seeds!$C$10=""),"",IF(ABS(AF20)&gt;Seeds!$C$10,"Có","Không"))</f>
        <v>Có</v>
      </c>
    </row>
    <row r="21" spans="1:33" ht="15" customHeight="1" x14ac:dyDescent="0.2">
      <c r="A21" s="13" t="s">
        <v>184</v>
      </c>
      <c r="B21" s="13" t="s">
        <v>29</v>
      </c>
      <c r="C21" s="13" t="s">
        <v>185</v>
      </c>
      <c r="D21" s="13" t="s">
        <v>116</v>
      </c>
      <c r="E21" s="13" t="s">
        <v>109</v>
      </c>
      <c r="F21" s="13">
        <v>3.0000000000000001E-3</v>
      </c>
      <c r="G21" s="13">
        <v>0</v>
      </c>
      <c r="H21" s="13">
        <v>512</v>
      </c>
      <c r="I21" s="13">
        <v>20</v>
      </c>
      <c r="J21" s="13" t="s">
        <v>118</v>
      </c>
      <c r="K21" s="13">
        <v>0</v>
      </c>
      <c r="L21" s="13" t="s">
        <v>119</v>
      </c>
      <c r="M21" s="13" t="s">
        <v>120</v>
      </c>
      <c r="N21" s="13" t="s">
        <v>121</v>
      </c>
      <c r="O21" s="13">
        <v>42</v>
      </c>
      <c r="P21" s="14">
        <v>2.3775720216483101</v>
      </c>
      <c r="Q21" s="14">
        <v>0.2115831167382296</v>
      </c>
      <c r="R21" s="13">
        <v>20</v>
      </c>
      <c r="S21" s="14">
        <v>0.18322488753998631</v>
      </c>
      <c r="T21" s="14">
        <v>0.2115831167382296</v>
      </c>
      <c r="U21" s="14">
        <v>0.91611623764038086</v>
      </c>
      <c r="V21" s="14">
        <v>0.87121971017943689</v>
      </c>
      <c r="W21" s="13">
        <v>0.50511629990360229</v>
      </c>
      <c r="X21" s="13"/>
      <c r="Y21" s="13" t="b">
        <v>0</v>
      </c>
      <c r="Z21" s="14"/>
      <c r="AA21" s="14"/>
      <c r="AB21" s="13" t="s">
        <v>186</v>
      </c>
      <c r="AC21" s="13" t="s">
        <v>123</v>
      </c>
      <c r="AD21" s="15">
        <f t="shared" si="0"/>
        <v>0.43166187259299682</v>
      </c>
      <c r="AE21" s="15">
        <f t="shared" si="1"/>
        <v>2.8358229198243295E-2</v>
      </c>
      <c r="AF21" s="15">
        <f>IF(OR(V21="",Seeds!$C$8=""),"",V21-Seeds!$C$8)</f>
        <v>1.9278707091202496E-2</v>
      </c>
      <c r="AG21" s="15" t="str">
        <f>IF(OR(AF21="",Seeds!$C$10=""),"",IF(ABS(AF21)&gt;Seeds!$C$10,"Có","Không"))</f>
        <v>Có</v>
      </c>
    </row>
    <row r="22" spans="1:33" ht="15" customHeight="1" x14ac:dyDescent="0.2">
      <c r="A22" s="13" t="s">
        <v>187</v>
      </c>
      <c r="B22" s="13" t="s">
        <v>29</v>
      </c>
      <c r="C22" s="13" t="s">
        <v>188</v>
      </c>
      <c r="D22" s="13" t="s">
        <v>116</v>
      </c>
      <c r="E22" s="13" t="s">
        <v>189</v>
      </c>
      <c r="F22" s="13">
        <v>1E-3</v>
      </c>
      <c r="G22" s="13">
        <v>0</v>
      </c>
      <c r="H22" s="13">
        <v>512</v>
      </c>
      <c r="I22" s="13">
        <v>20</v>
      </c>
      <c r="J22" s="13" t="s">
        <v>118</v>
      </c>
      <c r="K22" s="13">
        <v>0</v>
      </c>
      <c r="L22" s="13" t="s">
        <v>119</v>
      </c>
      <c r="M22" s="13" t="s">
        <v>120</v>
      </c>
      <c r="N22" s="13" t="s">
        <v>121</v>
      </c>
      <c r="O22" s="13">
        <v>42</v>
      </c>
      <c r="P22" s="14">
        <v>2.3775720216483101</v>
      </c>
      <c r="Q22" s="14">
        <v>0.24203435210193111</v>
      </c>
      <c r="R22" s="13">
        <v>19</v>
      </c>
      <c r="S22" s="14">
        <v>0.23523292338008139</v>
      </c>
      <c r="T22" s="14">
        <v>0.25545513136659598</v>
      </c>
      <c r="U22" s="14">
        <v>0.90229338407516479</v>
      </c>
      <c r="V22" s="14">
        <v>0.84863310274298598</v>
      </c>
      <c r="W22" s="13">
        <v>0.51643311454972718</v>
      </c>
      <c r="X22" s="13"/>
      <c r="Y22" s="13" t="b">
        <v>0</v>
      </c>
      <c r="Z22" s="14"/>
      <c r="AA22" s="14"/>
      <c r="AB22" s="13" t="s">
        <v>190</v>
      </c>
      <c r="AC22" s="13" t="s">
        <v>191</v>
      </c>
      <c r="AD22" s="15">
        <f t="shared" si="0"/>
        <v>0.43166187259299682</v>
      </c>
      <c r="AE22" s="15">
        <f t="shared" si="1"/>
        <v>2.0222207986514584E-2</v>
      </c>
      <c r="AF22" s="15">
        <f>IF(OR(V22="",Seeds!$C$8=""),"",V22-Seeds!$C$8)</f>
        <v>-3.3079003452484157E-3</v>
      </c>
      <c r="AG22" s="15" t="str">
        <f>IF(OR(AF22="",Seeds!$C$10=""),"",IF(ABS(AF22)&gt;Seeds!$C$10,"Có","Không"))</f>
        <v>Có</v>
      </c>
    </row>
    <row r="23" spans="1:33" ht="15" customHeight="1" x14ac:dyDescent="0.2">
      <c r="A23" s="13" t="s">
        <v>192</v>
      </c>
      <c r="B23" s="13" t="s">
        <v>29</v>
      </c>
      <c r="C23" s="13" t="s">
        <v>193</v>
      </c>
      <c r="D23" s="13" t="s">
        <v>116</v>
      </c>
      <c r="E23" s="13" t="s">
        <v>189</v>
      </c>
      <c r="F23" s="13">
        <v>3.0000000000000001E-3</v>
      </c>
      <c r="G23" s="13">
        <v>0</v>
      </c>
      <c r="H23" s="13">
        <v>512</v>
      </c>
      <c r="I23" s="13">
        <v>20</v>
      </c>
      <c r="J23" s="13" t="s">
        <v>118</v>
      </c>
      <c r="K23" s="13">
        <v>0</v>
      </c>
      <c r="L23" s="13" t="s">
        <v>119</v>
      </c>
      <c r="M23" s="13" t="s">
        <v>120</v>
      </c>
      <c r="N23" s="13" t="s">
        <v>121</v>
      </c>
      <c r="O23" s="13">
        <v>42</v>
      </c>
      <c r="P23" s="14">
        <v>2.3775720216483101</v>
      </c>
      <c r="Q23" s="14">
        <v>0.2115831167382296</v>
      </c>
      <c r="R23" s="13">
        <v>20</v>
      </c>
      <c r="S23" s="14">
        <v>0.18322488753998631</v>
      </c>
      <c r="T23" s="14">
        <v>0.2115831167382296</v>
      </c>
      <c r="U23" s="14">
        <v>0.91611623764038086</v>
      </c>
      <c r="V23" s="14">
        <v>0.87121971017943689</v>
      </c>
      <c r="W23" s="13">
        <v>0.51921972279669715</v>
      </c>
      <c r="X23" s="13"/>
      <c r="Y23" s="13" t="b">
        <v>0</v>
      </c>
      <c r="Z23" s="14"/>
      <c r="AA23" s="14"/>
      <c r="AB23" s="13" t="s">
        <v>194</v>
      </c>
      <c r="AC23" s="13" t="s">
        <v>191</v>
      </c>
      <c r="AD23" s="15">
        <f t="shared" si="0"/>
        <v>0.43166187259299682</v>
      </c>
      <c r="AE23" s="15">
        <f t="shared" si="1"/>
        <v>2.8358229198243295E-2</v>
      </c>
      <c r="AF23" s="15">
        <f>IF(OR(V23="",Seeds!$C$8=""),"",V23-Seeds!$C$8)</f>
        <v>1.9278707091202496E-2</v>
      </c>
      <c r="AG23" s="15" t="str">
        <f>IF(OR(AF23="",Seeds!$C$10=""),"",IF(ABS(AF23)&gt;Seeds!$C$10,"Có","Không"))</f>
        <v>Có</v>
      </c>
    </row>
    <row r="24" spans="1:33" ht="15" customHeight="1" x14ac:dyDescent="0.2">
      <c r="A24" s="13" t="s">
        <v>195</v>
      </c>
      <c r="B24" s="13" t="s">
        <v>29</v>
      </c>
      <c r="C24" s="13" t="s">
        <v>196</v>
      </c>
      <c r="D24" s="13" t="s">
        <v>116</v>
      </c>
      <c r="E24" s="13" t="s">
        <v>197</v>
      </c>
      <c r="F24" s="13">
        <v>0.03</v>
      </c>
      <c r="G24" s="13">
        <v>0</v>
      </c>
      <c r="H24" s="13">
        <v>512</v>
      </c>
      <c r="I24" s="13">
        <v>20</v>
      </c>
      <c r="J24" s="13" t="s">
        <v>118</v>
      </c>
      <c r="K24" s="13">
        <v>0</v>
      </c>
      <c r="L24" s="13" t="s">
        <v>119</v>
      </c>
      <c r="M24" s="13" t="s">
        <v>120</v>
      </c>
      <c r="N24" s="13" t="s">
        <v>121</v>
      </c>
      <c r="O24" s="13">
        <v>42</v>
      </c>
      <c r="P24" s="14">
        <v>2.3775720216483101</v>
      </c>
      <c r="Q24" s="14">
        <v>0.44587558339355149</v>
      </c>
      <c r="R24" s="13">
        <v>16</v>
      </c>
      <c r="S24" s="14">
        <v>0.48623700851455393</v>
      </c>
      <c r="T24" s="14">
        <v>0.49303066062654372</v>
      </c>
      <c r="U24" s="14">
        <v>0.81288051605224609</v>
      </c>
      <c r="V24" s="14">
        <v>0.64002927946863741</v>
      </c>
      <c r="W24" s="13">
        <v>0.4639884186995914</v>
      </c>
      <c r="X24" s="13"/>
      <c r="Y24" s="13" t="b">
        <v>0</v>
      </c>
      <c r="Z24" s="14"/>
      <c r="AA24" s="14"/>
      <c r="AB24" s="13" t="s">
        <v>198</v>
      </c>
      <c r="AC24" s="13" t="s">
        <v>123</v>
      </c>
      <c r="AD24" s="15">
        <f t="shared" si="0"/>
        <v>0.43166187259299682</v>
      </c>
      <c r="AE24" s="15">
        <f t="shared" si="1"/>
        <v>6.7936521119897897E-3</v>
      </c>
      <c r="AF24" s="15">
        <f>IF(OR(V24="",Seeds!$C$8=""),"",V24-Seeds!$C$8)</f>
        <v>-0.21191172361959698</v>
      </c>
      <c r="AG24" s="15" t="str">
        <f>IF(OR(AF24="",Seeds!$C$10=""),"",IF(ABS(AF24)&gt;Seeds!$C$10,"Có","Không"))</f>
        <v>Có</v>
      </c>
    </row>
    <row r="25" spans="1:33" ht="15" customHeight="1" x14ac:dyDescent="0.2">
      <c r="A25" s="13" t="s">
        <v>199</v>
      </c>
      <c r="B25" s="13" t="s">
        <v>29</v>
      </c>
      <c r="C25" s="13" t="s">
        <v>200</v>
      </c>
      <c r="D25" s="13" t="s">
        <v>116</v>
      </c>
      <c r="E25" s="13" t="s">
        <v>197</v>
      </c>
      <c r="F25" s="13">
        <v>0.1</v>
      </c>
      <c r="G25" s="13">
        <v>0</v>
      </c>
      <c r="H25" s="13">
        <v>512</v>
      </c>
      <c r="I25" s="13">
        <v>20</v>
      </c>
      <c r="J25" s="13" t="s">
        <v>118</v>
      </c>
      <c r="K25" s="13">
        <v>0</v>
      </c>
      <c r="L25" s="13" t="s">
        <v>119</v>
      </c>
      <c r="M25" s="13" t="s">
        <v>120</v>
      </c>
      <c r="N25" s="13" t="s">
        <v>121</v>
      </c>
      <c r="O25" s="13">
        <v>42</v>
      </c>
      <c r="P25" s="14">
        <v>2.3775720216483101</v>
      </c>
      <c r="Q25" s="14">
        <v>0.35523565378957672</v>
      </c>
      <c r="R25" s="13">
        <v>18</v>
      </c>
      <c r="S25" s="14">
        <v>0.44608828932087041</v>
      </c>
      <c r="T25" s="14">
        <v>0.45577554453176122</v>
      </c>
      <c r="U25" s="14">
        <v>0.85297220945358276</v>
      </c>
      <c r="V25" s="14">
        <v>0.74455199645565295</v>
      </c>
      <c r="W25" s="13">
        <v>0.46530044370156248</v>
      </c>
      <c r="X25" s="13"/>
      <c r="Y25" s="13" t="b">
        <v>0</v>
      </c>
      <c r="Z25" s="14"/>
      <c r="AA25" s="14"/>
      <c r="AB25" s="13" t="s">
        <v>201</v>
      </c>
      <c r="AC25" s="13" t="s">
        <v>123</v>
      </c>
      <c r="AD25" s="15">
        <f t="shared" si="0"/>
        <v>0.43166187259299682</v>
      </c>
      <c r="AE25" s="15">
        <f t="shared" si="1"/>
        <v>9.6872552108908105E-3</v>
      </c>
      <c r="AF25" s="15">
        <f>IF(OR(V25="",Seeds!$C$8=""),"",V25-Seeds!$C$8)</f>
        <v>-0.10738900663258144</v>
      </c>
      <c r="AG25" s="15" t="str">
        <f>IF(OR(AF25="",Seeds!$C$10=""),"",IF(ABS(AF25)&gt;Seeds!$C$10,"Có","Không"))</f>
        <v>Có</v>
      </c>
    </row>
    <row r="26" spans="1:33" ht="15" customHeight="1" x14ac:dyDescent="0.2">
      <c r="A26" s="13" t="s">
        <v>202</v>
      </c>
      <c r="B26" s="13" t="s">
        <v>29</v>
      </c>
      <c r="C26" s="13" t="s">
        <v>203</v>
      </c>
      <c r="D26" s="13" t="s">
        <v>116</v>
      </c>
      <c r="E26" s="13" t="s">
        <v>117</v>
      </c>
      <c r="F26" s="13">
        <v>0.03</v>
      </c>
      <c r="G26" s="13">
        <v>0</v>
      </c>
      <c r="H26" s="13">
        <v>512</v>
      </c>
      <c r="I26" s="13">
        <v>20</v>
      </c>
      <c r="J26" s="13" t="s">
        <v>118</v>
      </c>
      <c r="K26" s="13">
        <v>0</v>
      </c>
      <c r="L26" s="13" t="s">
        <v>119</v>
      </c>
      <c r="M26" s="13" t="s">
        <v>120</v>
      </c>
      <c r="N26" s="13" t="s">
        <v>121</v>
      </c>
      <c r="O26" s="13">
        <v>42</v>
      </c>
      <c r="P26" s="14">
        <v>2.3775720216483101</v>
      </c>
      <c r="Q26" s="14">
        <v>0.27890985037662858</v>
      </c>
      <c r="R26" s="13">
        <v>16</v>
      </c>
      <c r="S26" s="14">
        <v>0.27391506627980622</v>
      </c>
      <c r="T26" s="14">
        <v>0.29217913252297728</v>
      </c>
      <c r="U26" s="14">
        <v>0.8851466178894043</v>
      </c>
      <c r="V26" s="14">
        <v>0.80442557946261017</v>
      </c>
      <c r="W26" s="13">
        <v>0.47662048125930601</v>
      </c>
      <c r="X26" s="13"/>
      <c r="Y26" s="13" t="b">
        <v>0</v>
      </c>
      <c r="Z26" s="14"/>
      <c r="AA26" s="14"/>
      <c r="AB26" s="13" t="s">
        <v>204</v>
      </c>
      <c r="AC26" s="13" t="s">
        <v>123</v>
      </c>
      <c r="AD26" s="15">
        <f t="shared" si="0"/>
        <v>0.43166187259299682</v>
      </c>
      <c r="AE26" s="15">
        <f t="shared" si="1"/>
        <v>1.8264066243171062E-2</v>
      </c>
      <c r="AF26" s="15">
        <f>IF(OR(V26="",Seeds!$C$8=""),"",V26-Seeds!$C$8)</f>
        <v>-4.751542362562422E-2</v>
      </c>
      <c r="AG26" s="15" t="str">
        <f>IF(OR(AF26="",Seeds!$C$10=""),"",IF(ABS(AF26)&gt;Seeds!$C$10,"Có","Không"))</f>
        <v>Có</v>
      </c>
    </row>
    <row r="27" spans="1:33" ht="15" customHeight="1" x14ac:dyDescent="0.2">
      <c r="A27" s="13" t="s">
        <v>205</v>
      </c>
      <c r="B27" s="13" t="s">
        <v>206</v>
      </c>
      <c r="C27" s="13" t="s">
        <v>207</v>
      </c>
      <c r="D27" s="13" t="s">
        <v>116</v>
      </c>
      <c r="E27" s="13" t="s">
        <v>117</v>
      </c>
      <c r="F27" s="13">
        <v>0.1</v>
      </c>
      <c r="G27" s="13">
        <v>0</v>
      </c>
      <c r="H27" s="13">
        <v>512</v>
      </c>
      <c r="I27" s="13">
        <v>20</v>
      </c>
      <c r="J27" s="13" t="s">
        <v>118</v>
      </c>
      <c r="K27" s="13">
        <v>0</v>
      </c>
      <c r="L27" s="13" t="s">
        <v>119</v>
      </c>
      <c r="M27" s="13" t="s">
        <v>208</v>
      </c>
      <c r="N27" s="13" t="s">
        <v>121</v>
      </c>
      <c r="O27" s="13">
        <v>42</v>
      </c>
      <c r="P27" s="14">
        <v>2.3775720216483101</v>
      </c>
      <c r="Q27" s="14">
        <v>0.22696058741394179</v>
      </c>
      <c r="R27" s="13">
        <v>20</v>
      </c>
      <c r="S27" s="14">
        <v>0.20401944312912049</v>
      </c>
      <c r="T27" s="14">
        <v>0.22696058741394179</v>
      </c>
      <c r="U27" s="14">
        <v>0.90942537784576416</v>
      </c>
      <c r="V27" s="14">
        <v>0.85825437536743299</v>
      </c>
      <c r="W27" s="13">
        <v>7.12796277514426</v>
      </c>
      <c r="X27" s="13"/>
      <c r="Y27" s="13" t="b">
        <v>0</v>
      </c>
      <c r="Z27" s="14"/>
      <c r="AA27" s="14"/>
      <c r="AB27" s="13" t="s">
        <v>209</v>
      </c>
      <c r="AC27" s="13" t="s">
        <v>210</v>
      </c>
      <c r="AD27" s="15">
        <f t="shared" si="0"/>
        <v>0.43166187259299682</v>
      </c>
      <c r="AE27" s="15">
        <f t="shared" si="1"/>
        <v>2.2941144284821302E-2</v>
      </c>
      <c r="AF27" s="15">
        <f>IF(OR(V27="",Seeds!$C$8=""),"",V27-Seeds!$C$8)</f>
        <v>6.3133722791985925E-3</v>
      </c>
      <c r="AG27" s="15" t="str">
        <f>IF(OR(AF27="",Seeds!$C$10=""),"",IF(ABS(AF27)&gt;Seeds!$C$10,"Có","Không"))</f>
        <v>Có</v>
      </c>
    </row>
    <row r="28" spans="1:33" ht="15" customHeight="1" x14ac:dyDescent="0.2">
      <c r="A28" s="13" t="s">
        <v>211</v>
      </c>
      <c r="B28" s="13" t="s">
        <v>114</v>
      </c>
      <c r="C28" s="13" t="s">
        <v>115</v>
      </c>
      <c r="D28" s="13" t="s">
        <v>116</v>
      </c>
      <c r="E28" s="13" t="s">
        <v>117</v>
      </c>
      <c r="F28" s="13">
        <v>0.1</v>
      </c>
      <c r="G28" s="13">
        <v>0</v>
      </c>
      <c r="H28" s="13">
        <v>512</v>
      </c>
      <c r="I28" s="13">
        <v>20</v>
      </c>
      <c r="J28" s="13" t="s">
        <v>118</v>
      </c>
      <c r="K28" s="13">
        <v>0</v>
      </c>
      <c r="L28" s="13" t="s">
        <v>119</v>
      </c>
      <c r="M28" s="13" t="s">
        <v>120</v>
      </c>
      <c r="N28" s="13" t="s">
        <v>121</v>
      </c>
      <c r="O28" s="13">
        <v>123</v>
      </c>
      <c r="P28" s="14">
        <v>2.1592793612848351</v>
      </c>
      <c r="Q28" s="14">
        <v>0.22312769657618231</v>
      </c>
      <c r="R28" s="13">
        <v>19</v>
      </c>
      <c r="S28" s="14">
        <v>0.21747701602870759</v>
      </c>
      <c r="T28" s="14">
        <v>0.24350266408862331</v>
      </c>
      <c r="U28" s="14">
        <v>0.91210389137268066</v>
      </c>
      <c r="V28" s="14">
        <v>0.85168312167053595</v>
      </c>
      <c r="W28" s="13">
        <v>0.54808850834670009</v>
      </c>
      <c r="X28" s="13"/>
      <c r="Y28" s="13" t="b">
        <v>0</v>
      </c>
      <c r="Z28" s="14"/>
      <c r="AA28" s="14"/>
      <c r="AB28" s="13" t="s">
        <v>212</v>
      </c>
      <c r="AC28" s="13" t="s">
        <v>123</v>
      </c>
      <c r="AD28" s="15">
        <f t="shared" si="0"/>
        <v>0.21336921222952188</v>
      </c>
      <c r="AE28" s="15">
        <f t="shared" si="1"/>
        <v>2.6025648059915724E-2</v>
      </c>
      <c r="AF28" s="15">
        <f>IF(OR(V28="",Seeds!$C$8=""),"",V28-Seeds!$C$8)</f>
        <v>-2.5788141769844675E-4</v>
      </c>
      <c r="AG28" s="15" t="str">
        <f>IF(OR(AF28="",Seeds!$C$10=""),"",IF(ABS(AF28)&gt;Seeds!$C$10,"Có","Không"))</f>
        <v>Không</v>
      </c>
    </row>
    <row r="29" spans="1:33" ht="15" customHeight="1" x14ac:dyDescent="0.2">
      <c r="A29" s="13" t="s">
        <v>213</v>
      </c>
      <c r="B29" s="13" t="s">
        <v>114</v>
      </c>
      <c r="C29" s="13" t="s">
        <v>125</v>
      </c>
      <c r="D29" s="13" t="s">
        <v>116</v>
      </c>
      <c r="E29" s="13" t="s">
        <v>117</v>
      </c>
      <c r="F29" s="13">
        <v>0.1</v>
      </c>
      <c r="G29" s="13">
        <v>0</v>
      </c>
      <c r="H29" s="13">
        <v>512</v>
      </c>
      <c r="I29" s="13">
        <v>20</v>
      </c>
      <c r="J29" s="13" t="s">
        <v>118</v>
      </c>
      <c r="K29" s="13">
        <v>0</v>
      </c>
      <c r="L29" s="13" t="s">
        <v>119</v>
      </c>
      <c r="M29" s="13" t="s">
        <v>120</v>
      </c>
      <c r="N29" s="13" t="s">
        <v>121</v>
      </c>
      <c r="O29" s="13">
        <v>42</v>
      </c>
      <c r="P29" s="14">
        <v>2.3775720216483101</v>
      </c>
      <c r="Q29" s="14">
        <v>0.23053023418737531</v>
      </c>
      <c r="R29" s="13">
        <v>18</v>
      </c>
      <c r="S29" s="14">
        <v>0.20701141527811431</v>
      </c>
      <c r="T29" s="14">
        <v>0.2310302331253403</v>
      </c>
      <c r="U29" s="14">
        <v>0.90572494268417358</v>
      </c>
      <c r="V29" s="14">
        <v>0.85219888450593273</v>
      </c>
      <c r="W29" s="13">
        <v>0.52156309779966248</v>
      </c>
      <c r="X29" s="13"/>
      <c r="Y29" s="13" t="b">
        <v>0</v>
      </c>
      <c r="Z29" s="14">
        <v>0.9052175933495693</v>
      </c>
      <c r="AA29" s="14">
        <v>0.85387080071204857</v>
      </c>
      <c r="AB29" s="13" t="s">
        <v>214</v>
      </c>
      <c r="AC29" s="13" t="s">
        <v>215</v>
      </c>
      <c r="AD29" s="15">
        <f t="shared" si="0"/>
        <v>0.43166187259299682</v>
      </c>
      <c r="AE29" s="15">
        <f t="shared" si="1"/>
        <v>2.4018817847225982E-2</v>
      </c>
      <c r="AF29" s="15">
        <f>IF(OR(V29="",Seeds!$C$8=""),"",V29-Seeds!$C$8)</f>
        <v>2.5788141769833572E-4</v>
      </c>
      <c r="AG29" s="15" t="str">
        <f>IF(OR(AF29="",Seeds!$C$10=""),"",IF(ABS(AF29)&gt;Seeds!$C$10,"Có","Không"))</f>
        <v>Không</v>
      </c>
    </row>
    <row r="30" spans="1:33" ht="15" customHeight="1" x14ac:dyDescent="0.2">
      <c r="A30" s="13" t="s">
        <v>216</v>
      </c>
      <c r="B30" s="13" t="s">
        <v>142</v>
      </c>
      <c r="C30" s="13" t="s">
        <v>143</v>
      </c>
      <c r="D30" s="13" t="s">
        <v>116</v>
      </c>
      <c r="E30" s="13" t="s">
        <v>117</v>
      </c>
      <c r="F30" s="13">
        <v>1</v>
      </c>
      <c r="G30" s="13">
        <v>0</v>
      </c>
      <c r="H30" s="13">
        <v>512</v>
      </c>
      <c r="I30" s="13">
        <v>20</v>
      </c>
      <c r="J30" s="13" t="s">
        <v>118</v>
      </c>
      <c r="K30" s="13">
        <v>0</v>
      </c>
      <c r="L30" s="13" t="s">
        <v>119</v>
      </c>
      <c r="M30" s="13" t="s">
        <v>120</v>
      </c>
      <c r="N30" s="13" t="s">
        <v>121</v>
      </c>
      <c r="O30" s="13">
        <v>42</v>
      </c>
      <c r="P30" s="14">
        <v>2.3775720216483101</v>
      </c>
      <c r="Q30" s="14">
        <v>0.40138788103726469</v>
      </c>
      <c r="R30" s="13">
        <v>19</v>
      </c>
      <c r="S30" s="14">
        <v>0.40677229518729408</v>
      </c>
      <c r="T30" s="14">
        <v>0.41848269593146048</v>
      </c>
      <c r="U30" s="14">
        <v>0.84221512079238892</v>
      </c>
      <c r="V30" s="14">
        <v>0.62342956949353989</v>
      </c>
      <c r="W30" s="13">
        <v>0.48809205619909329</v>
      </c>
      <c r="X30" s="13"/>
      <c r="Y30" s="13" t="b">
        <v>0</v>
      </c>
      <c r="Z30" s="14"/>
      <c r="AA30" s="14"/>
      <c r="AB30" s="13" t="s">
        <v>217</v>
      </c>
      <c r="AC30" s="13" t="s">
        <v>218</v>
      </c>
      <c r="AD30" s="15">
        <f t="shared" si="0"/>
        <v>0.43166187259299682</v>
      </c>
      <c r="AE30" s="15">
        <f t="shared" si="1"/>
        <v>1.1710400744166405E-2</v>
      </c>
      <c r="AF30" s="15">
        <f>IF(OR(V30="",Seeds!$C$8=""),"",V30-Seeds!$C$8)</f>
        <v>-0.2285114335946945</v>
      </c>
      <c r="AG30" s="15" t="str">
        <f>IF(OR(AF30="",Seeds!$C$10=""),"",IF(ABS(AF30)&gt;Seeds!$C$10,"Có","Không"))</f>
        <v>Có</v>
      </c>
    </row>
    <row r="31" spans="1:33" ht="15" customHeight="1" x14ac:dyDescent="0.2">
      <c r="A31" s="13" t="s">
        <v>219</v>
      </c>
      <c r="B31" s="13" t="s">
        <v>142</v>
      </c>
      <c r="C31" s="13" t="s">
        <v>147</v>
      </c>
      <c r="D31" s="13" t="s">
        <v>116</v>
      </c>
      <c r="E31" s="13" t="s">
        <v>117</v>
      </c>
      <c r="F31" s="13">
        <v>1</v>
      </c>
      <c r="G31" s="13">
        <v>0</v>
      </c>
      <c r="H31" s="13">
        <v>512</v>
      </c>
      <c r="I31" s="13">
        <v>20</v>
      </c>
      <c r="J31" s="13" t="s">
        <v>118</v>
      </c>
      <c r="K31" s="13">
        <v>0</v>
      </c>
      <c r="L31" s="13">
        <v>0.50649607424845877</v>
      </c>
      <c r="M31" s="13" t="s">
        <v>120</v>
      </c>
      <c r="N31" s="13" t="s">
        <v>121</v>
      </c>
      <c r="O31" s="13">
        <v>42</v>
      </c>
      <c r="P31" s="14">
        <v>2.3775720216483101</v>
      </c>
      <c r="Q31" s="14">
        <v>0.29009073464957807</v>
      </c>
      <c r="R31" s="13">
        <v>17</v>
      </c>
      <c r="S31" s="14">
        <v>0.29617446944779041</v>
      </c>
      <c r="T31" s="14">
        <v>0.31765045365235511</v>
      </c>
      <c r="U31" s="14">
        <v>0.88750243186950684</v>
      </c>
      <c r="V31" s="14">
        <v>0.7948050280585931</v>
      </c>
      <c r="W31" s="13">
        <v>0.50007236229721452</v>
      </c>
      <c r="X31" s="13"/>
      <c r="Y31" s="13" t="b">
        <v>0</v>
      </c>
      <c r="Z31" s="14"/>
      <c r="AA31" s="14"/>
      <c r="AB31" s="13" t="s">
        <v>220</v>
      </c>
      <c r="AC31" s="13" t="s">
        <v>221</v>
      </c>
      <c r="AD31" s="15">
        <f t="shared" si="0"/>
        <v>0.43166187259299682</v>
      </c>
      <c r="AE31" s="15">
        <f t="shared" si="1"/>
        <v>2.1475984204564702E-2</v>
      </c>
      <c r="AF31" s="15">
        <f>IF(OR(V31="",Seeds!$C$8=""),"",V31-Seeds!$C$8)</f>
        <v>-5.7135975029641295E-2</v>
      </c>
      <c r="AG31" s="15" t="str">
        <f>IF(OR(AF31="",Seeds!$C$10=""),"",IF(ABS(AF31)&gt;Seeds!$C$10,"Có","Không"))</f>
        <v>Có</v>
      </c>
    </row>
    <row r="32" spans="1:33" ht="15" customHeight="1" x14ac:dyDescent="0.2">
      <c r="A32" s="13" t="s">
        <v>222</v>
      </c>
      <c r="B32" s="13" t="s">
        <v>46</v>
      </c>
      <c r="C32" s="13" t="s">
        <v>151</v>
      </c>
      <c r="D32" s="13" t="s">
        <v>116</v>
      </c>
      <c r="E32" s="13" t="s">
        <v>117</v>
      </c>
      <c r="F32" s="13">
        <v>0.1</v>
      </c>
      <c r="G32" s="13">
        <v>0</v>
      </c>
      <c r="H32" s="13">
        <v>512</v>
      </c>
      <c r="I32" s="13">
        <v>20</v>
      </c>
      <c r="J32" s="13" t="s">
        <v>118</v>
      </c>
      <c r="K32" s="13">
        <v>0.2</v>
      </c>
      <c r="L32" s="13" t="s">
        <v>119</v>
      </c>
      <c r="M32" s="13" t="s">
        <v>120</v>
      </c>
      <c r="N32" s="13" t="s">
        <v>121</v>
      </c>
      <c r="O32" s="13">
        <v>42</v>
      </c>
      <c r="P32" s="14">
        <v>2.3775720216483101</v>
      </c>
      <c r="Q32" s="14">
        <v>0.28051794817429659</v>
      </c>
      <c r="R32" s="13">
        <v>20</v>
      </c>
      <c r="S32" s="14">
        <v>0.27226893659724111</v>
      </c>
      <c r="T32" s="14">
        <v>0.28051794817429659</v>
      </c>
      <c r="U32" s="14">
        <v>0.88716894388198853</v>
      </c>
      <c r="V32" s="14">
        <v>0.81611403558085382</v>
      </c>
      <c r="W32" s="13">
        <v>0.80491072910372163</v>
      </c>
      <c r="X32" s="13"/>
      <c r="Y32" s="13" t="b">
        <v>0</v>
      </c>
      <c r="Z32" s="14"/>
      <c r="AA32" s="14"/>
      <c r="AB32" s="13" t="s">
        <v>223</v>
      </c>
      <c r="AC32" s="13" t="s">
        <v>153</v>
      </c>
      <c r="AD32" s="15">
        <f t="shared" si="0"/>
        <v>0.43166187259299682</v>
      </c>
      <c r="AE32" s="15">
        <f t="shared" si="1"/>
        <v>8.2490115770554873E-3</v>
      </c>
      <c r="AF32" s="15">
        <f>IF(OR(V32="",Seeds!$C$8=""),"",V32-Seeds!$C$8)</f>
        <v>-3.5826967507380569E-2</v>
      </c>
      <c r="AG32" s="15" t="str">
        <f>IF(OR(AF32="",Seeds!$C$10=""),"",IF(ABS(AF32)&gt;Seeds!$C$10,"Có","Không"))</f>
        <v>Có</v>
      </c>
    </row>
    <row r="33" spans="1:33" ht="15" customHeight="1" x14ac:dyDescent="0.2">
      <c r="A33" s="13" t="s">
        <v>224</v>
      </c>
      <c r="B33" s="13" t="s">
        <v>155</v>
      </c>
      <c r="C33" s="13" t="s">
        <v>225</v>
      </c>
      <c r="D33" s="13" t="s">
        <v>116</v>
      </c>
      <c r="E33" s="13" t="s">
        <v>109</v>
      </c>
      <c r="F33" s="13">
        <v>3.0000000000000001E-3</v>
      </c>
      <c r="G33" s="13">
        <v>0</v>
      </c>
      <c r="H33" s="13">
        <v>512</v>
      </c>
      <c r="I33" s="13">
        <v>20</v>
      </c>
      <c r="J33" s="13" t="s">
        <v>118</v>
      </c>
      <c r="K33" s="13">
        <v>0</v>
      </c>
      <c r="L33" s="13" t="s">
        <v>119</v>
      </c>
      <c r="M33" s="13" t="s">
        <v>120</v>
      </c>
      <c r="N33" s="13" t="s">
        <v>121</v>
      </c>
      <c r="O33" s="13">
        <v>42</v>
      </c>
      <c r="P33" s="14">
        <v>2.3775720216483101</v>
      </c>
      <c r="Q33" s="14">
        <v>0.2115831167382296</v>
      </c>
      <c r="R33" s="13">
        <v>20</v>
      </c>
      <c r="S33" s="14">
        <v>0.18322488753998631</v>
      </c>
      <c r="T33" s="14">
        <v>0.2115831167382296</v>
      </c>
      <c r="U33" s="14">
        <v>0.91611623764038086</v>
      </c>
      <c r="V33" s="14">
        <v>0.87121971017943689</v>
      </c>
      <c r="W33" s="13">
        <v>0.79248831039294598</v>
      </c>
      <c r="X33" s="13"/>
      <c r="Y33" s="13" t="b">
        <v>0</v>
      </c>
      <c r="Z33" s="14">
        <v>0.9155615603727959</v>
      </c>
      <c r="AA33" s="14">
        <v>0.87253936859870684</v>
      </c>
      <c r="AB33" s="13" t="s">
        <v>226</v>
      </c>
      <c r="AC33" s="13" t="s">
        <v>227</v>
      </c>
      <c r="AD33" s="15">
        <f t="shared" si="0"/>
        <v>0.43166187259299682</v>
      </c>
      <c r="AE33" s="15">
        <f t="shared" si="1"/>
        <v>2.8358229198243295E-2</v>
      </c>
      <c r="AF33" s="15">
        <f>IF(OR(V33="",Seeds!$C$8=""),"",V33-Seeds!$C$8)</f>
        <v>1.9278707091202496E-2</v>
      </c>
      <c r="AG33" s="15" t="str">
        <f>IF(OR(AF33="",Seeds!$C$10=""),"",IF(ABS(AF33)&gt;Seeds!$C$10,"Có","Không"))</f>
        <v>Có</v>
      </c>
    </row>
    <row r="34" spans="1:33" ht="15" customHeight="1" x14ac:dyDescent="0.2">
      <c r="A34" s="13" t="s">
        <v>228</v>
      </c>
      <c r="B34" s="13" t="s">
        <v>128</v>
      </c>
      <c r="C34" s="13" t="s">
        <v>159</v>
      </c>
      <c r="D34" s="13" t="s">
        <v>116</v>
      </c>
      <c r="E34" s="13" t="s">
        <v>117</v>
      </c>
      <c r="F34" s="13">
        <v>0.1</v>
      </c>
      <c r="G34" s="13">
        <v>0</v>
      </c>
      <c r="H34" s="13">
        <v>1024</v>
      </c>
      <c r="I34" s="13">
        <v>20</v>
      </c>
      <c r="J34" s="13" t="s">
        <v>118</v>
      </c>
      <c r="K34" s="13">
        <v>0</v>
      </c>
      <c r="L34" s="13" t="s">
        <v>119</v>
      </c>
      <c r="M34" s="13" t="s">
        <v>120</v>
      </c>
      <c r="N34" s="13" t="s">
        <v>121</v>
      </c>
      <c r="O34" s="13">
        <v>42</v>
      </c>
      <c r="P34" s="14">
        <v>2.3775720216483101</v>
      </c>
      <c r="Q34" s="14">
        <v>0.25263031496525329</v>
      </c>
      <c r="R34" s="13">
        <v>19</v>
      </c>
      <c r="S34" s="14">
        <v>0.26440764459411742</v>
      </c>
      <c r="T34" s="14">
        <v>0.28411632391621211</v>
      </c>
      <c r="U34" s="14">
        <v>0.89662444591522217</v>
      </c>
      <c r="V34" s="14">
        <v>0.83351081678684813</v>
      </c>
      <c r="W34" s="13">
        <v>0.39814266035391482</v>
      </c>
      <c r="X34" s="13"/>
      <c r="Y34" s="13" t="b">
        <v>0</v>
      </c>
      <c r="Z34" s="14"/>
      <c r="AA34" s="14"/>
      <c r="AB34" s="13" t="s">
        <v>229</v>
      </c>
      <c r="AC34" s="13" t="s">
        <v>161</v>
      </c>
      <c r="AD34" s="15">
        <f t="shared" ref="AD34:AD61" si="2">IF(P34="","",P34-LN(7))</f>
        <v>0.43166187259299682</v>
      </c>
      <c r="AE34" s="15">
        <f t="shared" ref="AE34:AE61" si="3">IF(OR(T34="",S34=""),"",T34-S34)</f>
        <v>1.9708679322094691E-2</v>
      </c>
      <c r="AF34" s="15">
        <f>IF(OR(V34="",Seeds!$C$8=""),"",V34-Seeds!$C$8)</f>
        <v>-1.8430186301386264E-2</v>
      </c>
      <c r="AG34" s="15" t="str">
        <f>IF(OR(AF34="",Seeds!$C$10=""),"",IF(ABS(AF34)&gt;Seeds!$C$10,"Có","Không"))</f>
        <v>Có</v>
      </c>
    </row>
    <row r="35" spans="1:33" ht="15" customHeight="1" x14ac:dyDescent="0.2">
      <c r="A35" s="13" t="s">
        <v>230</v>
      </c>
      <c r="B35" s="13" t="s">
        <v>53</v>
      </c>
      <c r="C35" s="13" t="s">
        <v>163</v>
      </c>
      <c r="D35" s="13" t="s">
        <v>116</v>
      </c>
      <c r="E35" s="13" t="s">
        <v>117</v>
      </c>
      <c r="F35" s="13">
        <v>0.1</v>
      </c>
      <c r="G35" s="13">
        <v>0</v>
      </c>
      <c r="H35" s="13">
        <v>512</v>
      </c>
      <c r="I35" s="13">
        <v>20</v>
      </c>
      <c r="J35" s="13" t="s">
        <v>118</v>
      </c>
      <c r="K35" s="13">
        <v>0</v>
      </c>
      <c r="L35" s="13" t="s">
        <v>119</v>
      </c>
      <c r="M35" s="13" t="s">
        <v>120</v>
      </c>
      <c r="N35" s="13" t="s">
        <v>164</v>
      </c>
      <c r="O35" s="13">
        <v>42</v>
      </c>
      <c r="P35" s="14">
        <v>2.0429059692448961</v>
      </c>
      <c r="Q35" s="14">
        <v>0.2194436717295882</v>
      </c>
      <c r="R35" s="13">
        <v>18</v>
      </c>
      <c r="S35" s="14">
        <v>0.21465894338661751</v>
      </c>
      <c r="T35" s="14">
        <v>0.23484397897806311</v>
      </c>
      <c r="U35" s="14">
        <v>0.91241580247879028</v>
      </c>
      <c r="V35" s="14">
        <v>0.85530950530032868</v>
      </c>
      <c r="W35" s="13">
        <v>0.48854848334740381</v>
      </c>
      <c r="X35" s="13"/>
      <c r="Y35" s="13" t="b">
        <v>0</v>
      </c>
      <c r="Z35" s="14"/>
      <c r="AA35" s="14"/>
      <c r="AB35" s="13" t="s">
        <v>231</v>
      </c>
      <c r="AC35" s="13" t="s">
        <v>123</v>
      </c>
      <c r="AD35" s="15">
        <f t="shared" si="2"/>
        <v>9.699582018958286E-2</v>
      </c>
      <c r="AE35" s="15">
        <f t="shared" si="3"/>
        <v>2.0185035591445605E-2</v>
      </c>
      <c r="AF35" s="15">
        <f>IF(OR(V35="",Seeds!$C$8=""),"",V35-Seeds!$C$8)</f>
        <v>3.368502212094282E-3</v>
      </c>
      <c r="AG35" s="15" t="str">
        <f>IF(OR(AF35="",Seeds!$C$10=""),"",IF(ABS(AF35)&gt;Seeds!$C$10,"Có","Không"))</f>
        <v>Có</v>
      </c>
    </row>
    <row r="36" spans="1:33" ht="15" customHeight="1" x14ac:dyDescent="0.2">
      <c r="A36" s="13" t="s">
        <v>232</v>
      </c>
      <c r="B36" s="13" t="s">
        <v>53</v>
      </c>
      <c r="C36" s="13" t="s">
        <v>167</v>
      </c>
      <c r="D36" s="13" t="s">
        <v>116</v>
      </c>
      <c r="E36" s="13" t="s">
        <v>117</v>
      </c>
      <c r="F36" s="13">
        <v>0.1</v>
      </c>
      <c r="G36" s="13">
        <v>0</v>
      </c>
      <c r="H36" s="13">
        <v>512</v>
      </c>
      <c r="I36" s="13">
        <v>20</v>
      </c>
      <c r="J36" s="13" t="s">
        <v>118</v>
      </c>
      <c r="K36" s="13">
        <v>0</v>
      </c>
      <c r="L36" s="13" t="s">
        <v>119</v>
      </c>
      <c r="M36" s="13" t="s">
        <v>120</v>
      </c>
      <c r="N36" s="13" t="s">
        <v>168</v>
      </c>
      <c r="O36" s="13">
        <v>42</v>
      </c>
      <c r="P36" s="14">
        <v>1.9459096193313601</v>
      </c>
      <c r="Q36" s="14">
        <v>1.205189197504726</v>
      </c>
      <c r="R36" s="13">
        <v>11</v>
      </c>
      <c r="S36" s="14">
        <v>1.2057845622576251</v>
      </c>
      <c r="T36" s="14">
        <v>1.2057860827749129</v>
      </c>
      <c r="U36" s="14">
        <v>0.48759707808494568</v>
      </c>
      <c r="V36" s="14">
        <v>9.3649990186254556E-2</v>
      </c>
      <c r="W36" s="13">
        <v>0.93112906245514748</v>
      </c>
      <c r="X36" s="13"/>
      <c r="Y36" s="13" t="b">
        <v>0</v>
      </c>
      <c r="Z36" s="14"/>
      <c r="AA36" s="14"/>
      <c r="AB36" s="13" t="s">
        <v>233</v>
      </c>
      <c r="AC36" s="13" t="s">
        <v>170</v>
      </c>
      <c r="AD36" s="15">
        <f t="shared" si="2"/>
        <v>-5.2972395314654364E-7</v>
      </c>
      <c r="AE36" s="15">
        <f t="shared" si="3"/>
        <v>1.5205172878562934E-6</v>
      </c>
      <c r="AF36" s="15">
        <f>IF(OR(V36="",Seeds!$C$8=""),"",V36-Seeds!$C$8)</f>
        <v>-0.75829101290197987</v>
      </c>
      <c r="AG36" s="15" t="str">
        <f>IF(OR(AF36="",Seeds!$C$10=""),"",IF(ABS(AF36)&gt;Seeds!$C$10,"Có","Không"))</f>
        <v>Có</v>
      </c>
    </row>
    <row r="37" spans="1:33" ht="15" customHeight="1" x14ac:dyDescent="0.2">
      <c r="A37" s="13" t="s">
        <v>234</v>
      </c>
      <c r="B37" s="13" t="s">
        <v>27</v>
      </c>
      <c r="C37" s="13" t="s">
        <v>172</v>
      </c>
      <c r="D37" s="13" t="s">
        <v>173</v>
      </c>
      <c r="E37" s="13" t="s">
        <v>117</v>
      </c>
      <c r="F37" s="13">
        <v>0.1</v>
      </c>
      <c r="G37" s="13">
        <v>0</v>
      </c>
      <c r="H37" s="13">
        <v>512</v>
      </c>
      <c r="I37" s="13">
        <v>20</v>
      </c>
      <c r="J37" s="13" t="s">
        <v>118</v>
      </c>
      <c r="K37" s="13">
        <v>0</v>
      </c>
      <c r="L37" s="13" t="s">
        <v>119</v>
      </c>
      <c r="M37" s="13" t="s">
        <v>120</v>
      </c>
      <c r="N37" s="13" t="s">
        <v>121</v>
      </c>
      <c r="O37" s="13">
        <v>42</v>
      </c>
      <c r="P37" s="14">
        <v>0.60616935460375276</v>
      </c>
      <c r="Q37" s="14">
        <v>2.963449279308147E-2</v>
      </c>
      <c r="R37" s="13">
        <v>19</v>
      </c>
      <c r="S37" s="14">
        <v>2.909814217107886E-2</v>
      </c>
      <c r="T37" s="14">
        <v>3.0042375087775221E-2</v>
      </c>
      <c r="U37" s="14">
        <v>0.86782771348953247</v>
      </c>
      <c r="V37" s="14">
        <v>0.73737083547475102</v>
      </c>
      <c r="W37" s="13">
        <v>0.52978392085642556</v>
      </c>
      <c r="X37" s="13"/>
      <c r="Y37" s="13" t="b">
        <v>0</v>
      </c>
      <c r="Z37" s="14"/>
      <c r="AA37" s="14"/>
      <c r="AB37" s="13" t="s">
        <v>235</v>
      </c>
      <c r="AC37" s="13" t="s">
        <v>123</v>
      </c>
      <c r="AD37" s="15">
        <f t="shared" si="2"/>
        <v>-1.3397407944515605</v>
      </c>
      <c r="AE37" s="15">
        <f t="shared" si="3"/>
        <v>9.4423291669636089E-4</v>
      </c>
      <c r="AF37" s="15">
        <f>IF(OR(V37="",Seeds!$C$8=""),"",V37-Seeds!$C$8)</f>
        <v>-0.11457016761348338</v>
      </c>
      <c r="AG37" s="15" t="str">
        <f>IF(OR(AF37="",Seeds!$C$10=""),"",IF(ABS(AF37)&gt;Seeds!$C$10,"Có","Không"))</f>
        <v>Có</v>
      </c>
    </row>
    <row r="38" spans="1:33" ht="15" customHeight="1" x14ac:dyDescent="0.2">
      <c r="A38" s="13" t="s">
        <v>236</v>
      </c>
      <c r="B38" s="13" t="s">
        <v>128</v>
      </c>
      <c r="C38" s="13" t="s">
        <v>129</v>
      </c>
      <c r="D38" s="13" t="s">
        <v>116</v>
      </c>
      <c r="E38" s="13" t="s">
        <v>117</v>
      </c>
      <c r="F38" s="13">
        <v>0.01</v>
      </c>
      <c r="G38" s="13">
        <v>0</v>
      </c>
      <c r="H38" s="13">
        <v>512</v>
      </c>
      <c r="I38" s="13">
        <v>5</v>
      </c>
      <c r="J38" s="13" t="s">
        <v>118</v>
      </c>
      <c r="K38" s="13">
        <v>0</v>
      </c>
      <c r="L38" s="13" t="s">
        <v>119</v>
      </c>
      <c r="M38" s="13" t="s">
        <v>120</v>
      </c>
      <c r="N38" s="13" t="s">
        <v>121</v>
      </c>
      <c r="O38" s="13">
        <v>42</v>
      </c>
      <c r="P38" s="14">
        <v>2.3775720216483101</v>
      </c>
      <c r="Q38" s="14">
        <v>0.44776807374419852</v>
      </c>
      <c r="R38" s="13">
        <v>5</v>
      </c>
      <c r="S38" s="14">
        <v>0.44327735003740409</v>
      </c>
      <c r="T38" s="14">
        <v>0.44776807374419852</v>
      </c>
      <c r="U38" s="14">
        <v>0.81356900930404663</v>
      </c>
      <c r="V38" s="14">
        <v>0.65723945809101825</v>
      </c>
      <c r="W38" s="13">
        <v>0.51661058360477907</v>
      </c>
      <c r="X38" s="13"/>
      <c r="Y38" s="13" t="b">
        <v>0</v>
      </c>
      <c r="Z38" s="14"/>
      <c r="AA38" s="14"/>
      <c r="AB38" s="13" t="s">
        <v>237</v>
      </c>
      <c r="AC38" s="13" t="s">
        <v>123</v>
      </c>
      <c r="AD38" s="15">
        <f t="shared" si="2"/>
        <v>0.43166187259299682</v>
      </c>
      <c r="AE38" s="15">
        <f t="shared" si="3"/>
        <v>4.4907237067944306E-3</v>
      </c>
      <c r="AF38" s="15">
        <f>IF(OR(V38="",Seeds!$C$8=""),"",V38-Seeds!$C$8)</f>
        <v>-0.19470154499721615</v>
      </c>
      <c r="AG38" s="15" t="str">
        <f>IF(OR(AF38="",Seeds!$C$10=""),"",IF(ABS(AF38)&gt;Seeds!$C$10,"Có","Không"))</f>
        <v>Có</v>
      </c>
    </row>
    <row r="39" spans="1:33" ht="15" customHeight="1" x14ac:dyDescent="0.2">
      <c r="A39" s="13" t="s">
        <v>238</v>
      </c>
      <c r="B39" s="13" t="s">
        <v>128</v>
      </c>
      <c r="C39" s="13" t="s">
        <v>132</v>
      </c>
      <c r="D39" s="13" t="s">
        <v>116</v>
      </c>
      <c r="E39" s="13" t="s">
        <v>117</v>
      </c>
      <c r="F39" s="13">
        <v>0.03</v>
      </c>
      <c r="G39" s="13">
        <v>0</v>
      </c>
      <c r="H39" s="13">
        <v>512</v>
      </c>
      <c r="I39" s="13">
        <v>5</v>
      </c>
      <c r="J39" s="13" t="s">
        <v>118</v>
      </c>
      <c r="K39" s="13">
        <v>0</v>
      </c>
      <c r="L39" s="13" t="s">
        <v>119</v>
      </c>
      <c r="M39" s="13" t="s">
        <v>120</v>
      </c>
      <c r="N39" s="13" t="s">
        <v>121</v>
      </c>
      <c r="O39" s="13">
        <v>42</v>
      </c>
      <c r="P39" s="14">
        <v>2.3775720216483101</v>
      </c>
      <c r="Q39" s="14">
        <v>0.37616091163112098</v>
      </c>
      <c r="R39" s="13">
        <v>5</v>
      </c>
      <c r="S39" s="14">
        <v>0.36747940713351801</v>
      </c>
      <c r="T39" s="14">
        <v>0.37616091163112098</v>
      </c>
      <c r="U39" s="14">
        <v>0.8423011302947998</v>
      </c>
      <c r="V39" s="14">
        <v>0.70425762726196894</v>
      </c>
      <c r="W39" s="13">
        <v>0.50588624979136509</v>
      </c>
      <c r="X39" s="13"/>
      <c r="Y39" s="13" t="b">
        <v>0</v>
      </c>
      <c r="Z39" s="14"/>
      <c r="AA39" s="14"/>
      <c r="AB39" s="13" t="s">
        <v>239</v>
      </c>
      <c r="AC39" s="13" t="s">
        <v>123</v>
      </c>
      <c r="AD39" s="15">
        <f t="shared" si="2"/>
        <v>0.43166187259299682</v>
      </c>
      <c r="AE39" s="15">
        <f t="shared" si="3"/>
        <v>8.6815044976029654E-3</v>
      </c>
      <c r="AF39" s="15">
        <f>IF(OR(V39="",Seeds!$C$8=""),"",V39-Seeds!$C$8)</f>
        <v>-0.14768337582626545</v>
      </c>
      <c r="AG39" s="15" t="str">
        <f>IF(OR(AF39="",Seeds!$C$10=""),"",IF(ABS(AF39)&gt;Seeds!$C$10,"Có","Không"))</f>
        <v>Có</v>
      </c>
    </row>
    <row r="40" spans="1:33" ht="15" customHeight="1" x14ac:dyDescent="0.2">
      <c r="A40" s="13" t="s">
        <v>240</v>
      </c>
      <c r="B40" s="13" t="s">
        <v>128</v>
      </c>
      <c r="C40" s="13" t="s">
        <v>135</v>
      </c>
      <c r="D40" s="13" t="s">
        <v>116</v>
      </c>
      <c r="E40" s="13" t="s">
        <v>117</v>
      </c>
      <c r="F40" s="13">
        <v>0.1</v>
      </c>
      <c r="G40" s="13">
        <v>0</v>
      </c>
      <c r="H40" s="13">
        <v>512</v>
      </c>
      <c r="I40" s="13">
        <v>5</v>
      </c>
      <c r="J40" s="13" t="s">
        <v>118</v>
      </c>
      <c r="K40" s="13">
        <v>0</v>
      </c>
      <c r="L40" s="13" t="s">
        <v>119</v>
      </c>
      <c r="M40" s="13" t="s">
        <v>120</v>
      </c>
      <c r="N40" s="13" t="s">
        <v>121</v>
      </c>
      <c r="O40" s="13">
        <v>42</v>
      </c>
      <c r="P40" s="14">
        <v>2.3775720216483101</v>
      </c>
      <c r="Q40" s="14">
        <v>0.3296030785849402</v>
      </c>
      <c r="R40" s="13">
        <v>5</v>
      </c>
      <c r="S40" s="14">
        <v>0.31763536034566298</v>
      </c>
      <c r="T40" s="14">
        <v>0.3296030785849402</v>
      </c>
      <c r="U40" s="14">
        <v>0.86222326755523682</v>
      </c>
      <c r="V40" s="14">
        <v>0.75449567884439361</v>
      </c>
      <c r="W40" s="13">
        <v>0.53873830841621384</v>
      </c>
      <c r="X40" s="13"/>
      <c r="Y40" s="13" t="b">
        <v>0</v>
      </c>
      <c r="Z40" s="14"/>
      <c r="AA40" s="14"/>
      <c r="AB40" s="13" t="s">
        <v>241</v>
      </c>
      <c r="AC40" s="13" t="s">
        <v>123</v>
      </c>
      <c r="AD40" s="15">
        <f t="shared" si="2"/>
        <v>0.43166187259299682</v>
      </c>
      <c r="AE40" s="15">
        <f t="shared" si="3"/>
        <v>1.1967718239277225E-2</v>
      </c>
      <c r="AF40" s="15">
        <f>IF(OR(V40="",Seeds!$C$8=""),"",V40-Seeds!$C$8)</f>
        <v>-9.7445324243840781E-2</v>
      </c>
      <c r="AG40" s="15" t="str">
        <f>IF(OR(AF40="",Seeds!$C$10=""),"",IF(ABS(AF40)&gt;Seeds!$C$10,"Có","Không"))</f>
        <v>Có</v>
      </c>
    </row>
    <row r="41" spans="1:33" ht="15" customHeight="1" x14ac:dyDescent="0.2">
      <c r="A41" s="13" t="s">
        <v>242</v>
      </c>
      <c r="B41" s="13" t="s">
        <v>29</v>
      </c>
      <c r="C41" s="13" t="s">
        <v>182</v>
      </c>
      <c r="D41" s="13" t="s">
        <v>116</v>
      </c>
      <c r="E41" s="13" t="s">
        <v>109</v>
      </c>
      <c r="F41" s="13">
        <v>1E-3</v>
      </c>
      <c r="G41" s="13">
        <v>0</v>
      </c>
      <c r="H41" s="13">
        <v>512</v>
      </c>
      <c r="I41" s="13">
        <v>20</v>
      </c>
      <c r="J41" s="13" t="s">
        <v>118</v>
      </c>
      <c r="K41" s="13">
        <v>0</v>
      </c>
      <c r="L41" s="13" t="s">
        <v>119</v>
      </c>
      <c r="M41" s="13" t="s">
        <v>120</v>
      </c>
      <c r="N41" s="13" t="s">
        <v>121</v>
      </c>
      <c r="O41" s="13">
        <v>42</v>
      </c>
      <c r="P41" s="14">
        <v>2.3775720216483101</v>
      </c>
      <c r="Q41" s="14">
        <v>0.24203435210193111</v>
      </c>
      <c r="R41" s="13">
        <v>19</v>
      </c>
      <c r="S41" s="14">
        <v>0.23523292338008139</v>
      </c>
      <c r="T41" s="14">
        <v>0.25545513136659598</v>
      </c>
      <c r="U41" s="14">
        <v>0.90229338407516479</v>
      </c>
      <c r="V41" s="14">
        <v>0.84863310274298598</v>
      </c>
      <c r="W41" s="13">
        <v>0.53700896875525361</v>
      </c>
      <c r="X41" s="13"/>
      <c r="Y41" s="13" t="b">
        <v>0</v>
      </c>
      <c r="Z41" s="14"/>
      <c r="AA41" s="14"/>
      <c r="AB41" s="13" t="s">
        <v>243</v>
      </c>
      <c r="AC41" s="13" t="s">
        <v>123</v>
      </c>
      <c r="AD41" s="15">
        <f t="shared" si="2"/>
        <v>0.43166187259299682</v>
      </c>
      <c r="AE41" s="15">
        <f t="shared" si="3"/>
        <v>2.0222207986514584E-2</v>
      </c>
      <c r="AF41" s="15">
        <f>IF(OR(V41="",Seeds!$C$8=""),"",V41-Seeds!$C$8)</f>
        <v>-3.3079003452484157E-3</v>
      </c>
      <c r="AG41" s="15" t="str">
        <f>IF(OR(AF41="",Seeds!$C$10=""),"",IF(ABS(AF41)&gt;Seeds!$C$10,"Có","Không"))</f>
        <v>Có</v>
      </c>
    </row>
    <row r="42" spans="1:33" ht="15" customHeight="1" x14ac:dyDescent="0.2">
      <c r="A42" s="13" t="s">
        <v>244</v>
      </c>
      <c r="B42" s="13" t="s">
        <v>29</v>
      </c>
      <c r="C42" s="13" t="s">
        <v>185</v>
      </c>
      <c r="D42" s="13" t="s">
        <v>116</v>
      </c>
      <c r="E42" s="13" t="s">
        <v>109</v>
      </c>
      <c r="F42" s="13">
        <v>3.0000000000000001E-3</v>
      </c>
      <c r="G42" s="13">
        <v>0</v>
      </c>
      <c r="H42" s="13">
        <v>512</v>
      </c>
      <c r="I42" s="13">
        <v>20</v>
      </c>
      <c r="J42" s="13" t="s">
        <v>118</v>
      </c>
      <c r="K42" s="13">
        <v>0</v>
      </c>
      <c r="L42" s="13" t="s">
        <v>119</v>
      </c>
      <c r="M42" s="13" t="s">
        <v>120</v>
      </c>
      <c r="N42" s="13" t="s">
        <v>121</v>
      </c>
      <c r="O42" s="13">
        <v>42</v>
      </c>
      <c r="P42" s="14">
        <v>2.3775720216483101</v>
      </c>
      <c r="Q42" s="14">
        <v>0.2115831167382296</v>
      </c>
      <c r="R42" s="13">
        <v>20</v>
      </c>
      <c r="S42" s="14">
        <v>0.18322488753998631</v>
      </c>
      <c r="T42" s="14">
        <v>0.2115831167382296</v>
      </c>
      <c r="U42" s="14">
        <v>0.91611623764038086</v>
      </c>
      <c r="V42" s="14">
        <v>0.87121971017943689</v>
      </c>
      <c r="W42" s="13">
        <v>0.53316913545713762</v>
      </c>
      <c r="X42" s="13"/>
      <c r="Y42" s="13" t="b">
        <v>0</v>
      </c>
      <c r="Z42" s="14"/>
      <c r="AA42" s="14"/>
      <c r="AB42" s="13" t="s">
        <v>245</v>
      </c>
      <c r="AC42" s="13" t="s">
        <v>123</v>
      </c>
      <c r="AD42" s="15">
        <f t="shared" si="2"/>
        <v>0.43166187259299682</v>
      </c>
      <c r="AE42" s="15">
        <f t="shared" si="3"/>
        <v>2.8358229198243295E-2</v>
      </c>
      <c r="AF42" s="15">
        <f>IF(OR(V42="",Seeds!$C$8=""),"",V42-Seeds!$C$8)</f>
        <v>1.9278707091202496E-2</v>
      </c>
      <c r="AG42" s="15" t="str">
        <f>IF(OR(AF42="",Seeds!$C$10=""),"",IF(ABS(AF42)&gt;Seeds!$C$10,"Có","Không"))</f>
        <v>Có</v>
      </c>
    </row>
    <row r="43" spans="1:33" ht="15" customHeight="1" x14ac:dyDescent="0.2">
      <c r="A43" s="13" t="s">
        <v>246</v>
      </c>
      <c r="B43" s="13" t="s">
        <v>29</v>
      </c>
      <c r="C43" s="13" t="s">
        <v>188</v>
      </c>
      <c r="D43" s="13" t="s">
        <v>116</v>
      </c>
      <c r="E43" s="13" t="s">
        <v>189</v>
      </c>
      <c r="F43" s="13">
        <v>1E-3</v>
      </c>
      <c r="G43" s="13">
        <v>0</v>
      </c>
      <c r="H43" s="13">
        <v>512</v>
      </c>
      <c r="I43" s="13">
        <v>20</v>
      </c>
      <c r="J43" s="13" t="s">
        <v>118</v>
      </c>
      <c r="K43" s="13">
        <v>0</v>
      </c>
      <c r="L43" s="13" t="s">
        <v>119</v>
      </c>
      <c r="M43" s="13" t="s">
        <v>120</v>
      </c>
      <c r="N43" s="13" t="s">
        <v>121</v>
      </c>
      <c r="O43" s="13">
        <v>42</v>
      </c>
      <c r="P43" s="14">
        <v>2.3775720216483101</v>
      </c>
      <c r="Q43" s="14">
        <v>0.24203435210193111</v>
      </c>
      <c r="R43" s="13">
        <v>19</v>
      </c>
      <c r="S43" s="14">
        <v>0.23523292338008139</v>
      </c>
      <c r="T43" s="14">
        <v>0.25545513136659598</v>
      </c>
      <c r="U43" s="14">
        <v>0.90229338407516479</v>
      </c>
      <c r="V43" s="14">
        <v>0.84863310274298598</v>
      </c>
      <c r="W43" s="13">
        <v>0.54069789995846806</v>
      </c>
      <c r="X43" s="13"/>
      <c r="Y43" s="13" t="b">
        <v>0</v>
      </c>
      <c r="Z43" s="14"/>
      <c r="AA43" s="14"/>
      <c r="AB43" s="13" t="s">
        <v>247</v>
      </c>
      <c r="AC43" s="13" t="s">
        <v>191</v>
      </c>
      <c r="AD43" s="15">
        <f t="shared" si="2"/>
        <v>0.43166187259299682</v>
      </c>
      <c r="AE43" s="15">
        <f t="shared" si="3"/>
        <v>2.0222207986514584E-2</v>
      </c>
      <c r="AF43" s="15">
        <f>IF(OR(V43="",Seeds!$C$8=""),"",V43-Seeds!$C$8)</f>
        <v>-3.3079003452484157E-3</v>
      </c>
      <c r="AG43" s="15" t="str">
        <f>IF(OR(AF43="",Seeds!$C$10=""),"",IF(ABS(AF43)&gt;Seeds!$C$10,"Có","Không"))</f>
        <v>Có</v>
      </c>
    </row>
    <row r="44" spans="1:33" ht="15" customHeight="1" x14ac:dyDescent="0.2">
      <c r="A44" s="13" t="s">
        <v>248</v>
      </c>
      <c r="B44" s="13" t="s">
        <v>29</v>
      </c>
      <c r="C44" s="13" t="s">
        <v>193</v>
      </c>
      <c r="D44" s="13" t="s">
        <v>116</v>
      </c>
      <c r="E44" s="13" t="s">
        <v>189</v>
      </c>
      <c r="F44" s="13">
        <v>3.0000000000000001E-3</v>
      </c>
      <c r="G44" s="13">
        <v>0</v>
      </c>
      <c r="H44" s="13">
        <v>512</v>
      </c>
      <c r="I44" s="13">
        <v>20</v>
      </c>
      <c r="J44" s="13" t="s">
        <v>118</v>
      </c>
      <c r="K44" s="13">
        <v>0</v>
      </c>
      <c r="L44" s="13" t="s">
        <v>119</v>
      </c>
      <c r="M44" s="13" t="s">
        <v>120</v>
      </c>
      <c r="N44" s="13" t="s">
        <v>121</v>
      </c>
      <c r="O44" s="13">
        <v>42</v>
      </c>
      <c r="P44" s="14">
        <v>2.3775720216483101</v>
      </c>
      <c r="Q44" s="14">
        <v>0.2115831167382296</v>
      </c>
      <c r="R44" s="13">
        <v>20</v>
      </c>
      <c r="S44" s="14">
        <v>0.18322488753998631</v>
      </c>
      <c r="T44" s="14">
        <v>0.2115831167382296</v>
      </c>
      <c r="U44" s="14">
        <v>0.91611623764038086</v>
      </c>
      <c r="V44" s="14">
        <v>0.87121971017943689</v>
      </c>
      <c r="W44" s="13">
        <v>0.55091844569833481</v>
      </c>
      <c r="X44" s="13"/>
      <c r="Y44" s="13" t="b">
        <v>0</v>
      </c>
      <c r="Z44" s="14"/>
      <c r="AA44" s="14"/>
      <c r="AB44" s="13" t="s">
        <v>249</v>
      </c>
      <c r="AC44" s="13" t="s">
        <v>191</v>
      </c>
      <c r="AD44" s="15">
        <f t="shared" si="2"/>
        <v>0.43166187259299682</v>
      </c>
      <c r="AE44" s="15">
        <f t="shared" si="3"/>
        <v>2.8358229198243295E-2</v>
      </c>
      <c r="AF44" s="15">
        <f>IF(OR(V44="",Seeds!$C$8=""),"",V44-Seeds!$C$8)</f>
        <v>1.9278707091202496E-2</v>
      </c>
      <c r="AG44" s="15" t="str">
        <f>IF(OR(AF44="",Seeds!$C$10=""),"",IF(ABS(AF44)&gt;Seeds!$C$10,"Có","Không"))</f>
        <v>Có</v>
      </c>
    </row>
    <row r="45" spans="1:33" ht="15" customHeight="1" x14ac:dyDescent="0.2">
      <c r="A45" s="13" t="s">
        <v>250</v>
      </c>
      <c r="B45" s="13" t="s">
        <v>29</v>
      </c>
      <c r="C45" s="13" t="s">
        <v>196</v>
      </c>
      <c r="D45" s="13" t="s">
        <v>116</v>
      </c>
      <c r="E45" s="13" t="s">
        <v>197</v>
      </c>
      <c r="F45" s="13">
        <v>0.03</v>
      </c>
      <c r="G45" s="13">
        <v>0</v>
      </c>
      <c r="H45" s="13">
        <v>512</v>
      </c>
      <c r="I45" s="13">
        <v>20</v>
      </c>
      <c r="J45" s="13" t="s">
        <v>118</v>
      </c>
      <c r="K45" s="13">
        <v>0</v>
      </c>
      <c r="L45" s="13" t="s">
        <v>119</v>
      </c>
      <c r="M45" s="13" t="s">
        <v>120</v>
      </c>
      <c r="N45" s="13" t="s">
        <v>121</v>
      </c>
      <c r="O45" s="13">
        <v>42</v>
      </c>
      <c r="P45" s="14">
        <v>2.3775720216483101</v>
      </c>
      <c r="Q45" s="14">
        <v>0.44587558339355149</v>
      </c>
      <c r="R45" s="13">
        <v>16</v>
      </c>
      <c r="S45" s="14">
        <v>0.48623700851455393</v>
      </c>
      <c r="T45" s="14">
        <v>0.49303066062654372</v>
      </c>
      <c r="U45" s="14">
        <v>0.81288051605224609</v>
      </c>
      <c r="V45" s="14">
        <v>0.64002927946863741</v>
      </c>
      <c r="W45" s="13">
        <v>0.5119892645365326</v>
      </c>
      <c r="X45" s="13"/>
      <c r="Y45" s="13" t="b">
        <v>0</v>
      </c>
      <c r="Z45" s="14"/>
      <c r="AA45" s="14"/>
      <c r="AB45" s="13" t="s">
        <v>251</v>
      </c>
      <c r="AC45" s="13" t="s">
        <v>123</v>
      </c>
      <c r="AD45" s="15">
        <f t="shared" si="2"/>
        <v>0.43166187259299682</v>
      </c>
      <c r="AE45" s="15">
        <f t="shared" si="3"/>
        <v>6.7936521119897897E-3</v>
      </c>
      <c r="AF45" s="15">
        <f>IF(OR(V45="",Seeds!$C$8=""),"",V45-Seeds!$C$8)</f>
        <v>-0.21191172361959698</v>
      </c>
      <c r="AG45" s="15" t="str">
        <f>IF(OR(AF45="",Seeds!$C$10=""),"",IF(ABS(AF45)&gt;Seeds!$C$10,"Có","Không"))</f>
        <v>Có</v>
      </c>
    </row>
    <row r="46" spans="1:33" ht="15" customHeight="1" x14ac:dyDescent="0.2">
      <c r="A46" s="13" t="s">
        <v>252</v>
      </c>
      <c r="B46" s="13" t="s">
        <v>29</v>
      </c>
      <c r="C46" s="13" t="s">
        <v>200</v>
      </c>
      <c r="D46" s="13" t="s">
        <v>116</v>
      </c>
      <c r="E46" s="13" t="s">
        <v>197</v>
      </c>
      <c r="F46" s="13">
        <v>0.1</v>
      </c>
      <c r="G46" s="13">
        <v>0</v>
      </c>
      <c r="H46" s="13">
        <v>512</v>
      </c>
      <c r="I46" s="13">
        <v>20</v>
      </c>
      <c r="J46" s="13" t="s">
        <v>118</v>
      </c>
      <c r="K46" s="13">
        <v>0</v>
      </c>
      <c r="L46" s="13" t="s">
        <v>119</v>
      </c>
      <c r="M46" s="13" t="s">
        <v>120</v>
      </c>
      <c r="N46" s="13" t="s">
        <v>121</v>
      </c>
      <c r="O46" s="13">
        <v>42</v>
      </c>
      <c r="P46" s="14">
        <v>2.3775720216483101</v>
      </c>
      <c r="Q46" s="14">
        <v>0.35523565378957672</v>
      </c>
      <c r="R46" s="13">
        <v>18</v>
      </c>
      <c r="S46" s="14">
        <v>0.44608828932087041</v>
      </c>
      <c r="T46" s="14">
        <v>0.45577554453176122</v>
      </c>
      <c r="U46" s="14">
        <v>0.85297220945358276</v>
      </c>
      <c r="V46" s="14">
        <v>0.74455199645565295</v>
      </c>
      <c r="W46" s="13">
        <v>0.47845614789403051</v>
      </c>
      <c r="X46" s="13"/>
      <c r="Y46" s="13" t="b">
        <v>0</v>
      </c>
      <c r="Z46" s="14"/>
      <c r="AA46" s="14"/>
      <c r="AB46" s="13" t="s">
        <v>253</v>
      </c>
      <c r="AC46" s="13" t="s">
        <v>123</v>
      </c>
      <c r="AD46" s="15">
        <f t="shared" si="2"/>
        <v>0.43166187259299682</v>
      </c>
      <c r="AE46" s="15">
        <f t="shared" si="3"/>
        <v>9.6872552108908105E-3</v>
      </c>
      <c r="AF46" s="15">
        <f>IF(OR(V46="",Seeds!$C$8=""),"",V46-Seeds!$C$8)</f>
        <v>-0.10738900663258144</v>
      </c>
      <c r="AG46" s="15" t="str">
        <f>IF(OR(AF46="",Seeds!$C$10=""),"",IF(ABS(AF46)&gt;Seeds!$C$10,"Có","Không"))</f>
        <v>Có</v>
      </c>
    </row>
    <row r="47" spans="1:33" ht="15" customHeight="1" x14ac:dyDescent="0.2">
      <c r="A47" s="13" t="s">
        <v>254</v>
      </c>
      <c r="B47" s="13" t="s">
        <v>29</v>
      </c>
      <c r="C47" s="13" t="s">
        <v>203</v>
      </c>
      <c r="D47" s="13" t="s">
        <v>116</v>
      </c>
      <c r="E47" s="13" t="s">
        <v>117</v>
      </c>
      <c r="F47" s="13">
        <v>0.03</v>
      </c>
      <c r="G47" s="13">
        <v>0</v>
      </c>
      <c r="H47" s="13">
        <v>512</v>
      </c>
      <c r="I47" s="13">
        <v>20</v>
      </c>
      <c r="J47" s="13" t="s">
        <v>118</v>
      </c>
      <c r="K47" s="13">
        <v>0</v>
      </c>
      <c r="L47" s="13" t="s">
        <v>119</v>
      </c>
      <c r="M47" s="13" t="s">
        <v>120</v>
      </c>
      <c r="N47" s="13" t="s">
        <v>121</v>
      </c>
      <c r="O47" s="13">
        <v>42</v>
      </c>
      <c r="P47" s="14">
        <v>2.3775720216483101</v>
      </c>
      <c r="Q47" s="14">
        <v>0.27890985037662858</v>
      </c>
      <c r="R47" s="13">
        <v>16</v>
      </c>
      <c r="S47" s="14">
        <v>0.27391506627980622</v>
      </c>
      <c r="T47" s="14">
        <v>0.29217913252297728</v>
      </c>
      <c r="U47" s="14">
        <v>0.8851466178894043</v>
      </c>
      <c r="V47" s="14">
        <v>0.80442557946261017</v>
      </c>
      <c r="W47" s="13">
        <v>0.49837571040552581</v>
      </c>
      <c r="X47" s="13"/>
      <c r="Y47" s="13" t="b">
        <v>0</v>
      </c>
      <c r="Z47" s="14"/>
      <c r="AA47" s="14"/>
      <c r="AB47" s="13" t="s">
        <v>255</v>
      </c>
      <c r="AC47" s="13" t="s">
        <v>123</v>
      </c>
      <c r="AD47" s="15">
        <f t="shared" si="2"/>
        <v>0.43166187259299682</v>
      </c>
      <c r="AE47" s="15">
        <f t="shared" si="3"/>
        <v>1.8264066243171062E-2</v>
      </c>
      <c r="AF47" s="15">
        <f>IF(OR(V47="",Seeds!$C$8=""),"",V47-Seeds!$C$8)</f>
        <v>-4.751542362562422E-2</v>
      </c>
      <c r="AG47" s="15" t="str">
        <f>IF(OR(AF47="",Seeds!$C$10=""),"",IF(ABS(AF47)&gt;Seeds!$C$10,"Có","Không"))</f>
        <v>Có</v>
      </c>
    </row>
    <row r="48" spans="1:33" ht="15" customHeight="1" x14ac:dyDescent="0.2">
      <c r="A48" s="13" t="s">
        <v>256</v>
      </c>
      <c r="B48" s="13" t="s">
        <v>206</v>
      </c>
      <c r="C48" s="13" t="s">
        <v>207</v>
      </c>
      <c r="D48" s="13" t="s">
        <v>116</v>
      </c>
      <c r="E48" s="13" t="s">
        <v>117</v>
      </c>
      <c r="F48" s="13">
        <v>0.1</v>
      </c>
      <c r="G48" s="13">
        <v>0</v>
      </c>
      <c r="H48" s="13">
        <v>512</v>
      </c>
      <c r="I48" s="13">
        <v>20</v>
      </c>
      <c r="J48" s="13" t="s">
        <v>118</v>
      </c>
      <c r="K48" s="13">
        <v>0</v>
      </c>
      <c r="L48" s="13" t="s">
        <v>119</v>
      </c>
      <c r="M48" s="13" t="s">
        <v>208</v>
      </c>
      <c r="N48" s="13" t="s">
        <v>121</v>
      </c>
      <c r="O48" s="13">
        <v>42</v>
      </c>
      <c r="P48" s="14">
        <v>2.3775720216483101</v>
      </c>
      <c r="Q48" s="14">
        <v>0.22696058741394179</v>
      </c>
      <c r="R48" s="13">
        <v>20</v>
      </c>
      <c r="S48" s="14">
        <v>0.20401944312912049</v>
      </c>
      <c r="T48" s="14">
        <v>0.22696058741394179</v>
      </c>
      <c r="U48" s="14">
        <v>0.90942537784576416</v>
      </c>
      <c r="V48" s="14">
        <v>0.85825437536743299</v>
      </c>
      <c r="W48" s="13">
        <v>7.2382291209010869</v>
      </c>
      <c r="X48" s="13"/>
      <c r="Y48" s="13" t="b">
        <v>0</v>
      </c>
      <c r="Z48" s="14"/>
      <c r="AA48" s="14"/>
      <c r="AB48" s="13" t="s">
        <v>257</v>
      </c>
      <c r="AC48" s="13" t="s">
        <v>210</v>
      </c>
      <c r="AD48" s="15">
        <f t="shared" si="2"/>
        <v>0.43166187259299682</v>
      </c>
      <c r="AE48" s="15">
        <f t="shared" si="3"/>
        <v>2.2941144284821302E-2</v>
      </c>
      <c r="AF48" s="15">
        <f>IF(OR(V48="",Seeds!$C$8=""),"",V48-Seeds!$C$8)</f>
        <v>6.3133722791985925E-3</v>
      </c>
      <c r="AG48" s="15" t="str">
        <f>IF(OR(AF48="",Seeds!$C$10=""),"",IF(ABS(AF48)&gt;Seeds!$C$10,"Có","Không"))</f>
        <v>Có</v>
      </c>
    </row>
    <row r="49" spans="1:33" ht="15" customHeight="1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ht="15" customHeight="1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ht="1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ht="1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ht="15" customHeight="1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ht="1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ht="1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ht="1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ht="15" customHeight="1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ht="15" customHeight="1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ht="1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ht="1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ht="15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61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4" width="16" customWidth="1"/>
  </cols>
  <sheetData>
    <row r="1" spans="1:4" ht="30" customHeight="1" x14ac:dyDescent="0.2">
      <c r="A1" s="7" t="s">
        <v>258</v>
      </c>
      <c r="B1" s="7" t="s">
        <v>70</v>
      </c>
      <c r="C1" s="7" t="s">
        <v>73</v>
      </c>
      <c r="D1" s="7" t="s">
        <v>61</v>
      </c>
    </row>
    <row r="2" spans="1:4" ht="15" customHeight="1" x14ac:dyDescent="0.2">
      <c r="A2" s="12" t="s">
        <v>213</v>
      </c>
      <c r="B2" s="15">
        <f>IF($A2="","",IFERROR(IF(INDEX(Experiments!$U$2:$U$61,MATCH($A2,Experiments!$A$2:$A$61,0))="","",INDEX(Experiments!$U$2:$U$61,MATCH($A2,Experiments!$A$2:$A$61,0))),""))</f>
        <v>0.90572494268417358</v>
      </c>
      <c r="C2" s="15">
        <f>IF($A2="","",IFERROR(IF(INDEX(Experiments!$V$2:$V$61,MATCH($A2,Experiments!$A$2:$A$61,0))="","",INDEX(Experiments!$V$2:$V$61,MATCH($A2,Experiments!$A$2:$A$61,0))),""))</f>
        <v>0.85219888450593273</v>
      </c>
      <c r="D2" s="15">
        <f>IF($A2="","",IFERROR(IF(INDEX(Experiments!$Q$2:$Q$61,MATCH($A2,Experiments!$A$2:$A$61,0))="","",INDEX(Experiments!$Q$2:$Q$61,MATCH($A2,Experiments!$A$2:$A$61,0))),""))</f>
        <v>0.23053023418737531</v>
      </c>
    </row>
    <row r="3" spans="1:4" ht="15" customHeight="1" x14ac:dyDescent="0.2">
      <c r="A3" s="12" t="s">
        <v>211</v>
      </c>
      <c r="B3" s="15">
        <f>IF($A3="","",IFERROR(IF(INDEX(Experiments!$U$2:$U$61,MATCH($A3,Experiments!$A$2:$A$61,0))="","",INDEX(Experiments!$U$2:$U$61,MATCH($A3,Experiments!$A$2:$A$61,0))),""))</f>
        <v>0.91210389137268066</v>
      </c>
      <c r="C3" s="15">
        <f>IF($A3="","",IFERROR(IF(INDEX(Experiments!$V$2:$V$61,MATCH($A3,Experiments!$A$2:$A$61,0))="","",INDEX(Experiments!$V$2:$V$61,MATCH($A3,Experiments!$A$2:$A$61,0))),""))</f>
        <v>0.85168312167053595</v>
      </c>
      <c r="D3" s="15">
        <f>IF($A3="","",IFERROR(IF(INDEX(Experiments!$Q$2:$Q$61,MATCH($A3,Experiments!$A$2:$A$61,0))="","",INDEX(Experiments!$Q$2:$Q$61,MATCH($A3,Experiments!$A$2:$A$61,0))),""))</f>
        <v>0.22312769657618231</v>
      </c>
    </row>
    <row r="4" spans="1:4" ht="15" customHeight="1" x14ac:dyDescent="0.2">
      <c r="A4" s="12"/>
      <c r="B4" s="15" t="str">
        <f>IF($A4="","",IFERROR(IF(INDEX(Experiments!$U$2:$U$61,MATCH($A4,Experiments!$A$2:$A$61,0))="","",INDEX(Experiments!$U$2:$U$61,MATCH($A4,Experiments!$A$2:$A$61,0))),""))</f>
        <v/>
      </c>
      <c r="C4" s="15" t="str">
        <f>IF($A4="","",IFERROR(IF(INDEX(Experiments!$V$2:$V$61,MATCH($A4,Experiments!$A$2:$A$61,0))="","",INDEX(Experiments!$V$2:$V$61,MATCH($A4,Experiments!$A$2:$A$61,0))),""))</f>
        <v/>
      </c>
      <c r="D4" s="15" t="str">
        <f>IF($A4="","",IFERROR(IF(INDEX(Experiments!$Q$2:$Q$61,MATCH($A4,Experiments!$A$2:$A$61,0))="","",INDEX(Experiments!$Q$2:$Q$61,MATCH($A4,Experiments!$A$2:$A$61,0))),""))</f>
        <v/>
      </c>
    </row>
    <row r="5" spans="1:4" ht="15" customHeight="1" x14ac:dyDescent="0.2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2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2">
      <c r="A8" s="16" t="s">
        <v>259</v>
      </c>
      <c r="B8" s="15">
        <f>IF(COUNT(B2:B6)=0,"",AVERAGE(B2:B6))</f>
        <v>0.90891441702842712</v>
      </c>
      <c r="C8" s="15">
        <f>IF(COUNT(C2:C6)=0,"",AVERAGE(C2:C6))</f>
        <v>0.85194100308823439</v>
      </c>
      <c r="D8" s="15">
        <f>IF(COUNT(D2:D6)=0,"",AVERAGE(D2:D6))</f>
        <v>0.22682896538177882</v>
      </c>
    </row>
    <row r="9" spans="1:4" ht="15" customHeight="1" x14ac:dyDescent="0.2">
      <c r="A9" s="16" t="s">
        <v>260</v>
      </c>
      <c r="B9" s="15">
        <f>IF(COUNT(B2:B6)&lt;2,"",STDEV(B2:B6))</f>
        <v>4.5105978744843902E-3</v>
      </c>
      <c r="C9" s="15">
        <f>IF(COUNT(C2:C6)&lt;2,"",STDEV(C2:C6))</f>
        <v>3.64699398393066E-4</v>
      </c>
      <c r="D9" s="15">
        <f>IF(COUNT(D2:D6)&lt;2,"",STDEV(D2:D6))</f>
        <v>5.2343845428630366E-3</v>
      </c>
    </row>
    <row r="10" spans="1:4" ht="15" customHeight="1" x14ac:dyDescent="0.2">
      <c r="A10" s="16" t="s">
        <v>261</v>
      </c>
      <c r="B10" s="15">
        <f>IF(B9="","",2*B9)</f>
        <v>9.0211957489687803E-3</v>
      </c>
      <c r="C10" s="15">
        <f>IF(C9="","",2*C9)</f>
        <v>7.29398796786132E-4</v>
      </c>
      <c r="D10" s="15">
        <f>IF(D9="","",2*D9)</f>
        <v>1.0468769085726073E-2</v>
      </c>
    </row>
    <row r="12" spans="1:4" ht="15" customHeight="1" x14ac:dyDescent="0.2">
      <c r="A12" s="2" t="s">
        <v>262</v>
      </c>
    </row>
    <row r="13" spans="1:4" ht="15" customHeight="1" x14ac:dyDescent="0.2">
      <c r="A13" s="2" t="s">
        <v>263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31.5" customHeight="1" x14ac:dyDescent="0.2">
      <c r="A1" s="7" t="s">
        <v>21</v>
      </c>
      <c r="B1" s="7" t="s">
        <v>264</v>
      </c>
      <c r="C1" s="7" t="s">
        <v>265</v>
      </c>
      <c r="D1" s="7" t="s">
        <v>266</v>
      </c>
      <c r="E1" s="7" t="s">
        <v>267</v>
      </c>
      <c r="F1" s="7" t="s">
        <v>268</v>
      </c>
      <c r="G1" s="7" t="s">
        <v>269</v>
      </c>
      <c r="H1" s="7" t="s">
        <v>270</v>
      </c>
    </row>
    <row r="2" spans="1:8" ht="15" customHeight="1" x14ac:dyDescent="0.2">
      <c r="A2" s="11" t="s">
        <v>114</v>
      </c>
      <c r="B2" s="17">
        <f>COUNTIF(Experiments!$B$2:$B$61,A2)</f>
        <v>6</v>
      </c>
      <c r="C2" s="17">
        <f>COUNTIFS(Experiments!$B$2:$B$61,A2,Experiments!$V$2:$V$61,"&lt;&gt;")</f>
        <v>6</v>
      </c>
      <c r="D2" s="15">
        <f>IF(C2=0,"",_xlfn.MAXIFS(Experiments!$V$2:$V$61,Experiments!$B$2:$B$61,A2))</f>
        <v>0.85219888450593273</v>
      </c>
      <c r="E2" s="15">
        <f>IF(C2=0,"",_xlfn.MINIFS(Experiments!$V$2:$V$61,Experiments!$B$2:$B$61,A2))</f>
        <v>0.85168312167053595</v>
      </c>
      <c r="F2" s="15">
        <f>IF(C2=0,"",_xlfn.MAXIFS(Experiments!$U$2:$U$61,Experiments!$B$2:$B$61,A2))</f>
        <v>0.91210389137268066</v>
      </c>
      <c r="G2" s="17" t="s">
        <v>271</v>
      </c>
      <c r="H2" s="18" t="s">
        <v>272</v>
      </c>
    </row>
    <row r="3" spans="1:8" ht="15" customHeight="1" x14ac:dyDescent="0.2">
      <c r="A3" s="11" t="s">
        <v>27</v>
      </c>
      <c r="B3" s="17">
        <f>COUNTIF(Experiments!$B$2:$B$61,A3)</f>
        <v>2</v>
      </c>
      <c r="C3" s="17">
        <f>COUNTIFS(Experiments!$B$2:$B$61,A3,Experiments!$V$2:$V$61,"&lt;&gt;")</f>
        <v>2</v>
      </c>
      <c r="D3" s="15">
        <f>IF(C3=0,"",_xlfn.MAXIFS(Experiments!$V$2:$V$61,Experiments!$B$2:$B$61,A3))</f>
        <v>0.73737083547475102</v>
      </c>
      <c r="E3" s="15">
        <f>IF(C3=0,"",_xlfn.MINIFS(Experiments!$V$2:$V$61,Experiments!$B$2:$B$61,A3))</f>
        <v>0.73737083547475102</v>
      </c>
      <c r="F3" s="15">
        <f>IF(C3=0,"",_xlfn.MAXIFS(Experiments!$U$2:$U$61,Experiments!$B$2:$B$61,A3))</f>
        <v>0.86782771348953247</v>
      </c>
      <c r="G3" s="17" t="str">
        <f t="shared" ref="G3:G9" si="0">IF(C3&gt;0,"Có","Chưa")</f>
        <v>Có</v>
      </c>
      <c r="H3" s="18" t="s">
        <v>273</v>
      </c>
    </row>
    <row r="4" spans="1:8" ht="15" customHeight="1" x14ac:dyDescent="0.2">
      <c r="A4" s="11" t="s">
        <v>29</v>
      </c>
      <c r="B4" s="17">
        <f>COUNTIF(Experiments!$B$2:$B$61,A4)</f>
        <v>14</v>
      </c>
      <c r="C4" s="17">
        <f>COUNTIFS(Experiments!$B$2:$B$61,A4,Experiments!$V$2:$V$61,"&lt;&gt;")</f>
        <v>14</v>
      </c>
      <c r="D4" s="15">
        <f>IF(C4=0,"",_xlfn.MAXIFS(Experiments!$V$2:$V$61,Experiments!$B$2:$B$61,A4))</f>
        <v>0.87121971017943689</v>
      </c>
      <c r="E4" s="15">
        <f>IF(C4=0,"",_xlfn.MINIFS(Experiments!$V$2:$V$61,Experiments!$B$2:$B$61,A4))</f>
        <v>0.64002927946863741</v>
      </c>
      <c r="F4" s="15">
        <f>IF(C4=0,"",_xlfn.MAXIFS(Experiments!$U$2:$U$61,Experiments!$B$2:$B$61,A4))</f>
        <v>0.91611623764038086</v>
      </c>
      <c r="G4" s="17" t="str">
        <f t="shared" si="0"/>
        <v>Có</v>
      </c>
      <c r="H4" s="18" t="s">
        <v>274</v>
      </c>
    </row>
    <row r="5" spans="1:8" ht="15" customHeight="1" x14ac:dyDescent="0.2">
      <c r="A5" s="11" t="s">
        <v>128</v>
      </c>
      <c r="B5" s="17">
        <f>COUNTIF(Experiments!$B$2:$B$61,A5)</f>
        <v>11</v>
      </c>
      <c r="C5" s="17">
        <f>COUNTIFS(Experiments!$B$2:$B$61,A5,Experiments!$V$2:$V$61,"&lt;&gt;")</f>
        <v>11</v>
      </c>
      <c r="D5" s="15">
        <f>IF(C5=0,"",_xlfn.MAXIFS(Experiments!$V$2:$V$61,Experiments!$B$2:$B$61,A5))</f>
        <v>0.83351081678684813</v>
      </c>
      <c r="E5" s="15">
        <f>IF(C5=0,"",_xlfn.MINIFS(Experiments!$V$2:$V$61,Experiments!$B$2:$B$61,A5))</f>
        <v>0.65723945809101825</v>
      </c>
      <c r="F5" s="15">
        <f>IF(C5=0,"",_xlfn.MAXIFS(Experiments!$U$2:$U$61,Experiments!$B$2:$B$61,A5))</f>
        <v>0.89662444591522217</v>
      </c>
      <c r="G5" s="17" t="str">
        <f t="shared" si="0"/>
        <v>Có</v>
      </c>
      <c r="H5" s="18" t="s">
        <v>275</v>
      </c>
    </row>
    <row r="6" spans="1:8" ht="15" customHeight="1" x14ac:dyDescent="0.2">
      <c r="A6" s="11" t="s">
        <v>46</v>
      </c>
      <c r="B6" s="17">
        <f>COUNTIF(Experiments!$B$2:$B$61,A6)</f>
        <v>2</v>
      </c>
      <c r="C6" s="17">
        <f>COUNTIFS(Experiments!$B$2:$B$61,A6,Experiments!$V$2:$V$61,"&lt;&gt;")</f>
        <v>2</v>
      </c>
      <c r="D6" s="15">
        <f>IF(C6=0,"",_xlfn.MAXIFS(Experiments!$V$2:$V$61,Experiments!$B$2:$B$61,A6))</f>
        <v>0.81611403558085382</v>
      </c>
      <c r="E6" s="15">
        <f>IF(C6=0,"",_xlfn.MINIFS(Experiments!$V$2:$V$61,Experiments!$B$2:$B$61,A6))</f>
        <v>0.81611403558085382</v>
      </c>
      <c r="F6" s="15">
        <f>IF(C6=0,"",_xlfn.MAXIFS(Experiments!$U$2:$U$61,Experiments!$B$2:$B$61,A6))</f>
        <v>0.88716894388198853</v>
      </c>
      <c r="G6" s="17" t="str">
        <f t="shared" si="0"/>
        <v>Có</v>
      </c>
      <c r="H6" s="18" t="s">
        <v>276</v>
      </c>
    </row>
    <row r="7" spans="1:8" ht="15" customHeight="1" x14ac:dyDescent="0.2">
      <c r="A7" s="11" t="s">
        <v>142</v>
      </c>
      <c r="B7" s="17">
        <f>COUNTIF(Experiments!$B$2:$B$61,A7)</f>
        <v>4</v>
      </c>
      <c r="C7" s="17">
        <f>COUNTIFS(Experiments!$B$2:$B$61,A7,Experiments!$V$2:$V$61,"&lt;&gt;")</f>
        <v>4</v>
      </c>
      <c r="D7" s="15">
        <f>IF(C7=0,"",_xlfn.MAXIFS(Experiments!$V$2:$V$61,Experiments!$B$2:$B$61,A7))</f>
        <v>0.7948050280585931</v>
      </c>
      <c r="E7" s="15">
        <f>IF(C7=0,"",_xlfn.MINIFS(Experiments!$V$2:$V$61,Experiments!$B$2:$B$61,A7))</f>
        <v>0.62342956949353989</v>
      </c>
      <c r="F7" s="15">
        <f>IF(C7=0,"",_xlfn.MAXIFS(Experiments!$U$2:$U$61,Experiments!$B$2:$B$61,A7))</f>
        <v>0.88750243186950684</v>
      </c>
      <c r="G7" s="17" t="str">
        <f t="shared" si="0"/>
        <v>Có</v>
      </c>
      <c r="H7" s="18" t="s">
        <v>277</v>
      </c>
    </row>
    <row r="8" spans="1:8" ht="15" customHeight="1" x14ac:dyDescent="0.2">
      <c r="A8" s="11" t="s">
        <v>206</v>
      </c>
      <c r="B8" s="17">
        <f>COUNTIF(Experiments!$B$2:$B$61,A8)</f>
        <v>2</v>
      </c>
      <c r="C8" s="17">
        <f>COUNTIFS(Experiments!$B$2:$B$61,A8,Experiments!$V$2:$V$61,"&lt;&gt;")</f>
        <v>2</v>
      </c>
      <c r="D8" s="15">
        <f>IF(C8=0,"",_xlfn.MAXIFS(Experiments!$V$2:$V$61,Experiments!$B$2:$B$61,A8))</f>
        <v>0.85825437536743299</v>
      </c>
      <c r="E8" s="15">
        <f>IF(C8=0,"",_xlfn.MINIFS(Experiments!$V$2:$V$61,Experiments!$B$2:$B$61,A8))</f>
        <v>0.85825437536743299</v>
      </c>
      <c r="F8" s="15">
        <f>IF(C8=0,"",_xlfn.MAXIFS(Experiments!$U$2:$U$61,Experiments!$B$2:$B$61,A8))</f>
        <v>0.90942537784576416</v>
      </c>
      <c r="G8" s="17" t="str">
        <f t="shared" si="0"/>
        <v>Có</v>
      </c>
      <c r="H8" s="18" t="s">
        <v>278</v>
      </c>
    </row>
    <row r="9" spans="1:8" ht="15" customHeight="1" x14ac:dyDescent="0.2">
      <c r="A9" s="11" t="s">
        <v>53</v>
      </c>
      <c r="B9" s="17">
        <f>COUNTIF(Experiments!$B$2:$B$61,A9)</f>
        <v>4</v>
      </c>
      <c r="C9" s="17">
        <f>COUNTIFS(Experiments!$B$2:$B$61,A9,Experiments!$V$2:$V$61,"&lt;&gt;")</f>
        <v>4</v>
      </c>
      <c r="D9" s="15">
        <f>IF(C9=0,"",_xlfn.MAXIFS(Experiments!$V$2:$V$61,Experiments!$B$2:$B$61,A9))</f>
        <v>0.85530950530032868</v>
      </c>
      <c r="E9" s="15">
        <f>IF(C9=0,"",_xlfn.MINIFS(Experiments!$V$2:$V$61,Experiments!$B$2:$B$61,A9))</f>
        <v>9.3649990186254556E-2</v>
      </c>
      <c r="F9" s="15">
        <f>IF(C9=0,"",_xlfn.MAXIFS(Experiments!$U$2:$U$61,Experiments!$B$2:$B$61,A9))</f>
        <v>0.91241580247879028</v>
      </c>
      <c r="G9" s="17" t="str">
        <f t="shared" si="0"/>
        <v>Có</v>
      </c>
      <c r="H9" s="18" t="s">
        <v>279</v>
      </c>
    </row>
    <row r="10" spans="1:8" ht="15" customHeight="1" x14ac:dyDescent="0.2">
      <c r="A10" s="11" t="s">
        <v>155</v>
      </c>
      <c r="B10" s="17">
        <f>COUNTIF(Experiments!$B$2:$B$61,A10)</f>
        <v>2</v>
      </c>
      <c r="C10" s="17">
        <f>COUNTIFS(Experiments!$B$2:$B$61,A10,Experiments!$V$2:$V$61,"&lt;&gt;")</f>
        <v>2</v>
      </c>
      <c r="D10" s="15">
        <f>IF(C10=0,"",_xlfn.MAXIFS(Experiments!$V$2:$V$61,Experiments!$B$2:$B$61,A10))</f>
        <v>0.87121971017943689</v>
      </c>
      <c r="E10" s="15">
        <f>IF(C10=0,"",_xlfn.MINIFS(Experiments!$V$2:$V$61,Experiments!$B$2:$B$61,A10))</f>
        <v>0.87121971017943689</v>
      </c>
      <c r="F10" s="15">
        <f>IF(C10=0,"",_xlfn.MAXIFS(Experiments!$U$2:$U$61,Experiments!$B$2:$B$61,A10))</f>
        <v>0.91611623764038086</v>
      </c>
      <c r="G10" s="17" t="s">
        <v>271</v>
      </c>
      <c r="H10" s="18" t="s">
        <v>280</v>
      </c>
    </row>
    <row r="11" spans="1:8" ht="15" customHeight="1" x14ac:dyDescent="0.2">
      <c r="A11" s="11" t="s">
        <v>281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271</v>
      </c>
      <c r="H11" s="18"/>
    </row>
    <row r="13" spans="1:8" ht="15" customHeight="1" x14ac:dyDescent="0.2">
      <c r="A13" s="3" t="s">
        <v>282</v>
      </c>
      <c r="D13" s="3">
        <f>COUNTIF(G2:G11,"Có")</f>
        <v>7</v>
      </c>
    </row>
    <row r="14" spans="1:8" ht="15" customHeight="1" x14ac:dyDescent="0.2">
      <c r="A14" s="2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Dao Work</cp:lastModifiedBy>
  <cp:revision>0</cp:revision>
  <dcterms:created xsi:type="dcterms:W3CDTF">2026-10-02T03:40:32Z</dcterms:created>
  <dcterms:modified xsi:type="dcterms:W3CDTF">2026-10-03T07:14:30Z</dcterms:modified>
  <dc:language>en-US</dc:language>
</cp:coreProperties>
</file>